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-User\Downloads\supporting-documents-reports\"/>
    </mc:Choice>
  </mc:AlternateContent>
  <xr:revisionPtr revIDLastSave="0" documentId="8_{BE8B3C92-DCB1-4004-B573-0ACC7C38C8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ion based on EIA 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62" i="1" l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J60" i="1"/>
  <c r="BJ62" i="1" s="1"/>
  <c r="BI60" i="1"/>
  <c r="BH60" i="1"/>
  <c r="BG60" i="1"/>
  <c r="BF60" i="1"/>
  <c r="BE60" i="1"/>
  <c r="BD60" i="1"/>
  <c r="BC60" i="1"/>
  <c r="BB60" i="1"/>
  <c r="BB62" i="1" s="1"/>
  <c r="BA60" i="1"/>
  <c r="BA62" i="1" s="1"/>
  <c r="AZ60" i="1"/>
  <c r="AZ62" i="1" s="1"/>
  <c r="AY60" i="1"/>
  <c r="AX60" i="1"/>
  <c r="AW60" i="1"/>
  <c r="AV60" i="1"/>
  <c r="AU60" i="1"/>
  <c r="AU62" i="1" s="1"/>
  <c r="AT60" i="1"/>
  <c r="AT62" i="1" s="1"/>
  <c r="AU57" i="1"/>
  <c r="AT57" i="1"/>
  <c r="AS57" i="1"/>
  <c r="AS60" i="1" s="1"/>
  <c r="AS62" i="1" s="1"/>
  <c r="AR57" i="1"/>
  <c r="AR60" i="1" s="1"/>
  <c r="AR62" i="1" s="1"/>
  <c r="AQ57" i="1"/>
  <c r="AQ60" i="1" s="1"/>
  <c r="AQ62" i="1" s="1"/>
  <c r="AP57" i="1"/>
  <c r="AP60" i="1" s="1"/>
  <c r="AP62" i="1" s="1"/>
  <c r="AO57" i="1"/>
  <c r="AO60" i="1" s="1"/>
  <c r="AO62" i="1" s="1"/>
  <c r="AN57" i="1"/>
  <c r="AN60" i="1" s="1"/>
  <c r="AN62" i="1" s="1"/>
  <c r="AM57" i="1"/>
  <c r="AM60" i="1" s="1"/>
  <c r="AM62" i="1" s="1"/>
  <c r="AL57" i="1"/>
  <c r="AL60" i="1" s="1"/>
  <c r="AL62" i="1" s="1"/>
  <c r="AK57" i="1"/>
  <c r="AK60" i="1" s="1"/>
  <c r="AK62" i="1" s="1"/>
  <c r="AJ57" i="1"/>
  <c r="AJ60" i="1" s="1"/>
  <c r="AJ62" i="1" s="1"/>
  <c r="AI57" i="1"/>
  <c r="AI60" i="1" s="1"/>
  <c r="AI62" i="1" s="1"/>
  <c r="AH57" i="1"/>
  <c r="AH60" i="1" s="1"/>
  <c r="AH62" i="1" s="1"/>
  <c r="AG57" i="1"/>
  <c r="AG60" i="1" s="1"/>
  <c r="AG62" i="1" s="1"/>
  <c r="AF57" i="1"/>
  <c r="AF60" i="1" s="1"/>
  <c r="AF62" i="1" s="1"/>
  <c r="AE57" i="1"/>
  <c r="AE60" i="1" s="1"/>
  <c r="AE62" i="1" s="1"/>
  <c r="AD57" i="1"/>
  <c r="AD60" i="1" s="1"/>
  <c r="AD62" i="1" s="1"/>
  <c r="AC57" i="1"/>
  <c r="AC60" i="1" s="1"/>
  <c r="AC62" i="1" s="1"/>
  <c r="AB57" i="1"/>
  <c r="AB60" i="1" s="1"/>
  <c r="AB62" i="1" s="1"/>
  <c r="AA57" i="1"/>
  <c r="AA60" i="1" s="1"/>
  <c r="AA62" i="1" s="1"/>
  <c r="Z57" i="1"/>
  <c r="Z60" i="1" s="1"/>
  <c r="Z62" i="1" s="1"/>
  <c r="Y57" i="1"/>
  <c r="Y60" i="1" s="1"/>
  <c r="Y62" i="1" s="1"/>
  <c r="X57" i="1"/>
  <c r="X60" i="1" s="1"/>
  <c r="X62" i="1" s="1"/>
  <c r="W57" i="1"/>
  <c r="W60" i="1" s="1"/>
  <c r="W62" i="1" s="1"/>
  <c r="V57" i="1"/>
  <c r="V60" i="1" s="1"/>
  <c r="V62" i="1" s="1"/>
  <c r="U57" i="1"/>
  <c r="U60" i="1" s="1"/>
  <c r="U62" i="1" s="1"/>
  <c r="T57" i="1"/>
  <c r="T60" i="1" s="1"/>
  <c r="T62" i="1" s="1"/>
  <c r="S57" i="1"/>
  <c r="S60" i="1" s="1"/>
  <c r="S62" i="1" s="1"/>
  <c r="R57" i="1"/>
  <c r="R60" i="1" s="1"/>
  <c r="R62" i="1" s="1"/>
  <c r="Q57" i="1"/>
  <c r="Q60" i="1" s="1"/>
  <c r="Q62" i="1" s="1"/>
  <c r="P57" i="1"/>
  <c r="P60" i="1" s="1"/>
  <c r="P62" i="1" s="1"/>
  <c r="O57" i="1"/>
  <c r="O60" i="1" s="1"/>
  <c r="O62" i="1" s="1"/>
  <c r="N57" i="1"/>
  <c r="N60" i="1" s="1"/>
  <c r="N62" i="1" s="1"/>
  <c r="M57" i="1"/>
  <c r="M60" i="1" s="1"/>
  <c r="M62" i="1" s="1"/>
  <c r="L57" i="1"/>
  <c r="L60" i="1" s="1"/>
  <c r="L62" i="1" s="1"/>
  <c r="K57" i="1"/>
  <c r="K60" i="1" s="1"/>
  <c r="K62" i="1" s="1"/>
  <c r="J57" i="1"/>
  <c r="J60" i="1" s="1"/>
  <c r="J62" i="1" s="1"/>
  <c r="I57" i="1"/>
  <c r="I60" i="1" s="1"/>
  <c r="I62" i="1" s="1"/>
  <c r="H57" i="1"/>
  <c r="H60" i="1" s="1"/>
  <c r="H62" i="1" s="1"/>
  <c r="G57" i="1"/>
  <c r="G60" i="1" s="1"/>
  <c r="G62" i="1" s="1"/>
  <c r="F57" i="1"/>
  <c r="F60" i="1" s="1"/>
  <c r="F62" i="1" s="1"/>
  <c r="E57" i="1"/>
  <c r="E60" i="1" s="1"/>
  <c r="E62" i="1" s="1"/>
  <c r="D57" i="1"/>
  <c r="D60" i="1" s="1"/>
  <c r="D62" i="1" s="1"/>
  <c r="C57" i="1"/>
  <c r="C60" i="1" s="1"/>
  <c r="C62" i="1" s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J31" i="1"/>
  <c r="BJ33" i="1" s="1"/>
  <c r="BI31" i="1"/>
  <c r="BI33" i="1" s="1"/>
  <c r="BH31" i="1"/>
  <c r="BH33" i="1" s="1"/>
  <c r="BG31" i="1"/>
  <c r="BG33" i="1" s="1"/>
  <c r="BF31" i="1"/>
  <c r="BF33" i="1" s="1"/>
  <c r="BE31" i="1"/>
  <c r="BE33" i="1" s="1"/>
  <c r="BD31" i="1"/>
  <c r="BD33" i="1" s="1"/>
  <c r="BC31" i="1"/>
  <c r="BC33" i="1" s="1"/>
  <c r="BB31" i="1"/>
  <c r="BB33" i="1" s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J24" i="1"/>
  <c r="BI24" i="1"/>
  <c r="BH24" i="1"/>
  <c r="BG24" i="1"/>
  <c r="BF24" i="1"/>
  <c r="BE24" i="1"/>
  <c r="BD24" i="1"/>
  <c r="BC24" i="1"/>
  <c r="BB24" i="1"/>
  <c r="BA24" i="1"/>
  <c r="AV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Z23" i="1"/>
  <c r="AZ24" i="1" s="1"/>
  <c r="AY23" i="1"/>
  <c r="AY24" i="1" s="1"/>
  <c r="AX23" i="1"/>
  <c r="AT23" i="1"/>
  <c r="AS23" i="1"/>
  <c r="AS24" i="1" s="1"/>
  <c r="AR23" i="1"/>
  <c r="AR24" i="1" s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J8" i="1"/>
  <c r="BA8" i="1"/>
  <c r="BB8" i="1" s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J7" i="1"/>
  <c r="BI7" i="1"/>
  <c r="BA7" i="1"/>
  <c r="AZ7" i="1"/>
  <c r="AY7" i="1"/>
  <c r="AX7" i="1"/>
  <c r="AW7" i="1"/>
  <c r="AV7" i="1"/>
  <c r="BJ5" i="1"/>
  <c r="BI5" i="1"/>
  <c r="BH5" i="1"/>
  <c r="BG5" i="1"/>
  <c r="BF5" i="1"/>
  <c r="BE5" i="1"/>
  <c r="BD5" i="1"/>
  <c r="BC5" i="1"/>
  <c r="BB5" i="1"/>
  <c r="BA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J4" i="1"/>
  <c r="BI4" i="1"/>
  <c r="BH4" i="1"/>
  <c r="BG4" i="1"/>
  <c r="BF4" i="1"/>
  <c r="BE4" i="1"/>
  <c r="BD4" i="1"/>
  <c r="BC4" i="1"/>
  <c r="BB4" i="1"/>
  <c r="AZ3" i="1"/>
  <c r="AZ5" i="1" s="1"/>
  <c r="AY3" i="1"/>
  <c r="AW23" i="1" l="1"/>
  <c r="AW24" i="1" s="1"/>
  <c r="AX24" i="1"/>
  <c r="AT24" i="1"/>
  <c r="AU23" i="1"/>
  <c r="AU24" i="1" s="1"/>
  <c r="BB7" i="1"/>
  <c r="BC8" i="1"/>
  <c r="AX3" i="1"/>
  <c r="AY5" i="1"/>
  <c r="AY62" i="1" s="1"/>
  <c r="BC62" i="1" l="1"/>
  <c r="BD8" i="1"/>
  <c r="BC7" i="1"/>
  <c r="AX5" i="1"/>
  <c r="AX62" i="1" s="1"/>
  <c r="AW3" i="1"/>
  <c r="BD62" i="1" l="1"/>
  <c r="BD7" i="1"/>
  <c r="BE8" i="1"/>
  <c r="AW5" i="1"/>
  <c r="AW62" i="1" s="1"/>
  <c r="AV3" i="1"/>
  <c r="AV5" i="1" s="1"/>
  <c r="AV62" i="1" s="1"/>
  <c r="BE62" i="1" l="1"/>
  <c r="BE7" i="1"/>
  <c r="BF8" i="1"/>
  <c r="BF62" i="1" l="1"/>
  <c r="BF7" i="1"/>
  <c r="BG8" i="1"/>
  <c r="BG62" i="1" l="1"/>
  <c r="BH8" i="1"/>
  <c r="BG7" i="1"/>
  <c r="BH62" i="1" l="1"/>
  <c r="B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Michael Morgan:
Countries chosen by highest volume of production in the last 10 years of data (2015 to 2024)</t>
        </r>
      </text>
    </comment>
    <comment ref="AV3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estimated using growth rate in 2015
</t>
        </r>
      </text>
    </comment>
    <comment ref="AW3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estimated using growth rate in 2015
</t>
        </r>
      </text>
    </comment>
    <comment ref="AX3" authorId="0" shapeId="0" xr:uid="{00000000-0006-0000-0000-000006000000}">
      <text>
        <r>
          <rPr>
            <sz val="10"/>
            <color rgb="FF000000"/>
            <rFont val="Arial"/>
            <scheme val="minor"/>
          </rPr>
          <t xml:space="preserve">estimated using growth rate in 2015
</t>
        </r>
      </text>
    </comment>
    <comment ref="AY3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estimated using growth rate in 2015
</t>
        </r>
      </text>
    </comment>
    <comment ref="AZ3" authorId="0" shapeId="0" xr:uid="{00000000-0006-0000-0000-000008000000}">
      <text>
        <r>
          <rPr>
            <sz val="10"/>
            <color rgb="FF000000"/>
            <rFont val="Arial"/>
            <scheme val="minor"/>
          </rPr>
          <t xml:space="preserve">estimated using growth rate in 2015
</t>
        </r>
      </text>
    </comment>
    <comment ref="BJ3" authorId="0" shapeId="0" xr:uid="{00000000-0006-0000-0000-00000D000000}">
      <text>
        <r>
          <rPr>
            <sz val="10"/>
            <color rgb="FF000000"/>
            <rFont val="Arial"/>
            <scheme val="minor"/>
          </rPr>
          <t>carried forward from 2023</t>
        </r>
      </text>
    </comment>
    <comment ref="AS23" authorId="0" shapeId="0" xr:uid="{00000000-0006-0000-0000-000009000000}">
      <text>
        <r>
          <rPr>
            <sz val="10"/>
            <color rgb="FF000000"/>
            <rFont val="Arial"/>
            <scheme val="minor"/>
          </rPr>
          <t xml:space="preserve">average imputation
</t>
        </r>
      </text>
    </comment>
    <comment ref="AT23" authorId="0" shapeId="0" xr:uid="{00000000-0006-0000-0000-00000A000000}">
      <text>
        <r>
          <rPr>
            <sz val="10"/>
            <color rgb="FF000000"/>
            <rFont val="Arial"/>
            <scheme val="minor"/>
          </rPr>
          <t>average imputation</t>
        </r>
      </text>
    </comment>
    <comment ref="AV23" authorId="0" shapeId="0" xr:uid="{00000000-0006-0000-0000-00000B000000}">
      <text>
        <r>
          <rPr>
            <sz val="10"/>
            <color rgb="FF000000"/>
            <rFont val="Arial"/>
            <scheme val="minor"/>
          </rPr>
          <t>average imputation</t>
        </r>
      </text>
    </comment>
    <comment ref="AW23" authorId="0" shapeId="0" xr:uid="{00000000-0006-0000-0000-00000C000000}">
      <text>
        <r>
          <rPr>
            <sz val="10"/>
            <color rgb="FF000000"/>
            <rFont val="Arial"/>
            <scheme val="minor"/>
          </rPr>
          <t>average imputation</t>
        </r>
      </text>
    </comment>
    <comment ref="AX23" authorId="0" shapeId="0" xr:uid="{00000000-0006-0000-0000-00000E000000}">
      <text>
        <r>
          <rPr>
            <sz val="10"/>
            <color rgb="FF000000"/>
            <rFont val="Arial"/>
            <scheme val="minor"/>
          </rPr>
          <t>average imputation</t>
        </r>
      </text>
    </comment>
    <comment ref="AY23" authorId="0" shapeId="0" xr:uid="{00000000-0006-0000-0000-00000F000000}">
      <text>
        <r>
          <rPr>
            <sz val="10"/>
            <color rgb="FF000000"/>
            <rFont val="Arial"/>
            <scheme val="minor"/>
          </rPr>
          <t>average imputation</t>
        </r>
      </text>
    </comment>
    <comment ref="AZ23" authorId="0" shapeId="0" xr:uid="{00000000-0006-0000-0000-000010000000}">
      <text>
        <r>
          <rPr>
            <sz val="10"/>
            <color rgb="FF000000"/>
            <rFont val="Arial"/>
            <scheme val="minor"/>
          </rPr>
          <t>average imputation</t>
        </r>
      </text>
    </comment>
    <comment ref="BJ23" authorId="0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carried forward from 2023
</t>
        </r>
      </text>
    </comment>
    <comment ref="B34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Source quality: POOR
Found source of actual production numbers of heavy crude
Kuwait Oil Co. begins heavy crude exports from South Ratqa oil field
</t>
        </r>
      </text>
    </comment>
  </commentList>
</comments>
</file>

<file path=xl/sharedStrings.xml><?xml version="1.0" encoding="utf-8"?>
<sst xmlns="http://schemas.openxmlformats.org/spreadsheetml/2006/main" count="124" uniqueCount="26">
  <si>
    <t>Country</t>
  </si>
  <si>
    <t>Canada</t>
  </si>
  <si>
    <t>Metric</t>
  </si>
  <si>
    <t>China</t>
  </si>
  <si>
    <t>Iran</t>
  </si>
  <si>
    <t>Iraq</t>
  </si>
  <si>
    <t>United States</t>
  </si>
  <si>
    <t>Production (kbd)</t>
  </si>
  <si>
    <t>Kuwait</t>
  </si>
  <si>
    <t>Qatar</t>
  </si>
  <si>
    <t>Russia</t>
  </si>
  <si>
    <t>Saudi Arabia</t>
  </si>
  <si>
    <t>Percent Heavy by API</t>
  </si>
  <si>
    <t>United Arab Emirates</t>
  </si>
  <si>
    <t>Venezuela</t>
  </si>
  <si>
    <t>Algeria</t>
  </si>
  <si>
    <t>Growth rate %</t>
  </si>
  <si>
    <t>Angola</t>
  </si>
  <si>
    <t>Heavy Oil Production (kbd)</t>
  </si>
  <si>
    <t>Brazil</t>
  </si>
  <si>
    <t>Disruption</t>
  </si>
  <si>
    <t>Mexico</t>
  </si>
  <si>
    <t>Kazakhstan</t>
  </si>
  <si>
    <t>Nigeria</t>
  </si>
  <si>
    <t>Norway</t>
  </si>
  <si>
    <t>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</si>
</sst>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theme="1"/>
      <name val="Arial"/>
    </font>
    <font>
      <sz val="11"/>
      <color rgb="FF9900FF"/>
      <name val="&quot;Aptos Narrow&quot;"/>
    </font>
    <font>
      <sz val="9"/>
      <color theme="1"/>
      <name val="Calibri"/>
    </font>
    <font>
      <sz val="11"/>
      <color rgb="FF9900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horizontal="right"/>
    </xf>
    <xf numFmtId="4" fontId="2" fillId="0" borderId="0" xfId="0" applyNumberFormat="1" applyFont="1"/>
    <xf numFmtId="4" fontId="3" fillId="0" borderId="0" xfId="0" applyNumberFormat="1" applyFont="1"/>
    <xf numFmtId="0" fontId="3" fillId="3" borderId="0" xfId="0" applyFont="1" applyFill="1"/>
    <xf numFmtId="0" fontId="2" fillId="3" borderId="0" xfId="0" applyFont="1" applyFill="1"/>
    <xf numFmtId="164" fontId="2" fillId="2" borderId="0" xfId="0" applyNumberFormat="1" applyFont="1" applyFill="1"/>
    <xf numFmtId="164" fontId="5" fillId="2" borderId="0" xfId="0" applyNumberFormat="1" applyFont="1" applyFill="1"/>
    <xf numFmtId="165" fontId="2" fillId="3" borderId="0" xfId="0" applyNumberFormat="1" applyFont="1" applyFill="1"/>
    <xf numFmtId="0" fontId="2" fillId="4" borderId="0" xfId="0" applyFont="1" applyFill="1"/>
    <xf numFmtId="0" fontId="6" fillId="2" borderId="0" xfId="0" applyFont="1" applyFill="1" applyAlignment="1">
      <alignment horizontal="right"/>
    </xf>
    <xf numFmtId="0" fontId="7" fillId="2" borderId="0" xfId="0" applyFont="1" applyFill="1"/>
    <xf numFmtId="0" fontId="8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0" fontId="8" fillId="3" borderId="0" xfId="0" applyFont="1" applyFill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BK6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18.33203125" customWidth="1"/>
    <col min="2" max="2" width="22.88671875" customWidth="1"/>
  </cols>
  <sheetData>
    <row r="1" spans="1:63">
      <c r="A1" s="3" t="s">
        <v>0</v>
      </c>
      <c r="B1" s="2" t="s">
        <v>2</v>
      </c>
      <c r="C1" s="4">
        <v>1965</v>
      </c>
      <c r="D1" s="4">
        <v>1966</v>
      </c>
      <c r="E1" s="4">
        <v>1967</v>
      </c>
      <c r="F1" s="4">
        <v>1968</v>
      </c>
      <c r="G1" s="4">
        <v>1969</v>
      </c>
      <c r="H1" s="4">
        <v>1970</v>
      </c>
      <c r="I1" s="4">
        <v>1971</v>
      </c>
      <c r="J1" s="4">
        <v>1972</v>
      </c>
      <c r="K1" s="4">
        <v>1973</v>
      </c>
      <c r="L1" s="4">
        <v>1974</v>
      </c>
      <c r="M1" s="4">
        <v>1975</v>
      </c>
      <c r="N1" s="4">
        <v>1976</v>
      </c>
      <c r="O1" s="4">
        <v>1977</v>
      </c>
      <c r="P1" s="4">
        <v>1978</v>
      </c>
      <c r="Q1" s="4">
        <v>1979</v>
      </c>
      <c r="R1" s="4">
        <v>1980</v>
      </c>
      <c r="S1" s="4">
        <v>1981</v>
      </c>
      <c r="T1" s="4">
        <v>1982</v>
      </c>
      <c r="U1" s="4">
        <v>1983</v>
      </c>
      <c r="V1" s="4">
        <v>1984</v>
      </c>
      <c r="W1" s="4">
        <v>1985</v>
      </c>
      <c r="X1" s="4">
        <v>1986</v>
      </c>
      <c r="Y1" s="4">
        <v>1987</v>
      </c>
      <c r="Z1" s="4">
        <v>1988</v>
      </c>
      <c r="AA1" s="4">
        <v>1989</v>
      </c>
      <c r="AB1" s="4">
        <v>1990</v>
      </c>
      <c r="AC1" s="4">
        <v>1991</v>
      </c>
      <c r="AD1" s="4">
        <v>1992</v>
      </c>
      <c r="AE1" s="4">
        <v>1993</v>
      </c>
      <c r="AF1" s="4">
        <v>1994</v>
      </c>
      <c r="AG1" s="4">
        <v>1995</v>
      </c>
      <c r="AH1" s="4">
        <v>1996</v>
      </c>
      <c r="AI1" s="4">
        <v>1997</v>
      </c>
      <c r="AJ1" s="4">
        <v>1998</v>
      </c>
      <c r="AK1" s="4">
        <v>1999</v>
      </c>
      <c r="AL1" s="4">
        <v>2000</v>
      </c>
      <c r="AM1" s="4">
        <v>2001</v>
      </c>
      <c r="AN1" s="4">
        <v>2002</v>
      </c>
      <c r="AO1" s="4">
        <v>2003</v>
      </c>
      <c r="AP1" s="4">
        <v>2004</v>
      </c>
      <c r="AQ1" s="4">
        <v>2005</v>
      </c>
      <c r="AR1" s="4">
        <v>2006</v>
      </c>
      <c r="AS1" s="4">
        <v>2007</v>
      </c>
      <c r="AT1" s="4">
        <v>2008</v>
      </c>
      <c r="AU1" s="4">
        <v>2009</v>
      </c>
      <c r="AV1" s="4">
        <v>2010</v>
      </c>
      <c r="AW1" s="4">
        <v>2011</v>
      </c>
      <c r="AX1" s="4">
        <v>2012</v>
      </c>
      <c r="AY1" s="4">
        <v>2013</v>
      </c>
      <c r="AZ1" s="4">
        <v>2014</v>
      </c>
      <c r="BA1" s="4">
        <v>2015</v>
      </c>
      <c r="BB1" s="4">
        <v>2016</v>
      </c>
      <c r="BC1" s="4">
        <v>2017</v>
      </c>
      <c r="BD1" s="4">
        <v>2018</v>
      </c>
      <c r="BE1" s="4">
        <v>2019</v>
      </c>
      <c r="BF1" s="4">
        <v>2020</v>
      </c>
      <c r="BG1" s="4">
        <v>2021</v>
      </c>
      <c r="BH1" s="4">
        <v>2022</v>
      </c>
      <c r="BI1" s="4">
        <v>2023</v>
      </c>
      <c r="BJ1" s="4">
        <v>2024</v>
      </c>
      <c r="BK1" s="5">
        <v>2025</v>
      </c>
    </row>
    <row r="2" spans="1:63">
      <c r="A2" s="3" t="s">
        <v>6</v>
      </c>
      <c r="B2" s="2" t="s">
        <v>7</v>
      </c>
      <c r="C2" s="4"/>
      <c r="D2" s="4"/>
      <c r="E2" s="4"/>
      <c r="F2" s="4"/>
      <c r="G2" s="4"/>
      <c r="H2" s="4"/>
      <c r="I2" s="4"/>
      <c r="J2" s="4"/>
      <c r="K2" s="2">
        <v>9207.9532958904092</v>
      </c>
      <c r="L2" s="2">
        <v>8774.2054383561608</v>
      </c>
      <c r="M2" s="2">
        <v>8374.73696164383</v>
      </c>
      <c r="N2" s="2">
        <v>8131.6392732240402</v>
      </c>
      <c r="O2" s="4">
        <v>8244.5619999999999</v>
      </c>
      <c r="P2" s="2">
        <v>8707.4409945205407</v>
      </c>
      <c r="Q2" s="2">
        <v>8551.5341424657508</v>
      </c>
      <c r="R2" s="2">
        <v>8596.5901639344193</v>
      </c>
      <c r="S2" s="2">
        <v>8571.5808219177998</v>
      </c>
      <c r="T2" s="2">
        <v>8648.3726027397206</v>
      </c>
      <c r="U2" s="2">
        <v>8687.6027397260204</v>
      </c>
      <c r="V2" s="2">
        <v>8878.9507021857899</v>
      </c>
      <c r="W2" s="2">
        <v>8971.5589041095809</v>
      </c>
      <c r="X2" s="2">
        <v>8680.1013698630104</v>
      </c>
      <c r="Y2" s="2">
        <v>8348.9726027397192</v>
      </c>
      <c r="Z2" s="4">
        <v>8139.817</v>
      </c>
      <c r="AA2" s="2">
        <v>7613.0136986301304</v>
      </c>
      <c r="AB2" s="2">
        <v>7355.32328767123</v>
      </c>
      <c r="AC2" s="2">
        <v>7416.6027397260204</v>
      </c>
      <c r="AD2" s="2">
        <v>7171.12452459016</v>
      </c>
      <c r="AE2" s="2">
        <v>6846.6649178082098</v>
      </c>
      <c r="AF2" s="2">
        <v>6661.5790712328699</v>
      </c>
      <c r="AG2" s="2">
        <v>6559.6395041095802</v>
      </c>
      <c r="AH2" s="2">
        <v>6464.5263633879704</v>
      </c>
      <c r="AI2" s="2">
        <v>6451.5922356164301</v>
      </c>
      <c r="AJ2" s="2">
        <v>6251.8339698630098</v>
      </c>
      <c r="AK2" s="2">
        <v>5881.4565835616404</v>
      </c>
      <c r="AL2" s="2">
        <v>5821.6010948087396</v>
      </c>
      <c r="AM2" s="2">
        <v>5801.40273758904</v>
      </c>
      <c r="AN2" s="2">
        <v>5744.0767123287596</v>
      </c>
      <c r="AO2" s="2">
        <v>5649.2383561643801</v>
      </c>
      <c r="AP2" s="2">
        <v>5440.9153005464404</v>
      </c>
      <c r="AQ2" s="2">
        <v>5183.7123287671202</v>
      </c>
      <c r="AR2" s="4">
        <v>5085.866</v>
      </c>
      <c r="AS2" s="2">
        <v>5073.89837534246</v>
      </c>
      <c r="AT2" s="4">
        <v>4999.6689999999999</v>
      </c>
      <c r="AU2" s="2">
        <v>5356.6958712328696</v>
      </c>
      <c r="AV2" s="2">
        <v>5484.4000630136898</v>
      </c>
      <c r="AW2" s="2">
        <v>5667.2274465753399</v>
      </c>
      <c r="AX2" s="2">
        <v>6520.58740163934</v>
      </c>
      <c r="AY2" s="2">
        <v>7494.1177150684898</v>
      </c>
      <c r="AZ2" s="4">
        <v>8789.3919999999998</v>
      </c>
      <c r="BA2" s="2">
        <v>9446.4932219178008</v>
      </c>
      <c r="BB2" s="2">
        <v>8851.5190519125608</v>
      </c>
      <c r="BC2" s="2">
        <v>9371.35610410958</v>
      </c>
      <c r="BD2" s="2">
        <v>10964.087868493099</v>
      </c>
      <c r="BE2" s="2">
        <v>12248.0191452054</v>
      </c>
      <c r="BF2" s="2">
        <v>11307.5628469945</v>
      </c>
      <c r="BG2" s="2">
        <v>11311.297134246501</v>
      </c>
      <c r="BH2" s="2">
        <v>12004.2177726027</v>
      </c>
      <c r="BI2" s="4">
        <v>12943.38</v>
      </c>
      <c r="BJ2" s="2">
        <v>13234.5856202185</v>
      </c>
      <c r="BK2" s="2">
        <v>13586.086904109499</v>
      </c>
    </row>
    <row r="3" spans="1:63">
      <c r="A3" s="3" t="s">
        <v>6</v>
      </c>
      <c r="B3" s="6" t="s">
        <v>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>
        <f t="shared" ref="AV3:AZ3" si="0">AW3*(1-AV4)</f>
        <v>0.14501353707203057</v>
      </c>
      <c r="AW3" s="7">
        <f t="shared" si="0"/>
        <v>0.12831920809842542</v>
      </c>
      <c r="AX3" s="7">
        <f t="shared" si="0"/>
        <v>0.11354677293905442</v>
      </c>
      <c r="AY3" s="7">
        <f t="shared" si="0"/>
        <v>0.10047497826657323</v>
      </c>
      <c r="AZ3" s="7">
        <f t="shared" si="0"/>
        <v>8.8908042002100007E-2</v>
      </c>
      <c r="BA3" s="8">
        <v>7.8672721000000001E-2</v>
      </c>
      <c r="BB3" s="8">
        <v>6.8435392999999997E-2</v>
      </c>
      <c r="BC3" s="8">
        <v>5.9909391999999999E-2</v>
      </c>
      <c r="BD3" s="8">
        <v>4.6090619999999999E-2</v>
      </c>
      <c r="BE3" s="8">
        <v>4.0900351000000001E-2</v>
      </c>
      <c r="BF3" s="8">
        <v>4.1003693000000001E-2</v>
      </c>
      <c r="BG3" s="8">
        <v>3.6239E-2</v>
      </c>
      <c r="BH3" s="8">
        <v>3.1752761999999997E-2</v>
      </c>
      <c r="BI3" s="8">
        <v>3.2546462999999998E-2</v>
      </c>
      <c r="BJ3" s="8">
        <v>3.2546462999999998E-2</v>
      </c>
      <c r="BK3" s="8"/>
    </row>
    <row r="4" spans="1:63">
      <c r="A4" s="3" t="s">
        <v>6</v>
      </c>
      <c r="B4" s="3" t="s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10">
        <v>-0.13009999999999999</v>
      </c>
      <c r="AW4" s="10">
        <v>-0.13009999999999999</v>
      </c>
      <c r="AX4" s="10">
        <v>-0.13009999999999999</v>
      </c>
      <c r="AY4" s="10">
        <v>-0.13009999999999999</v>
      </c>
      <c r="AZ4" s="10">
        <v>-0.13009999999999999</v>
      </c>
      <c r="BA4" s="10">
        <v>-0.13009999999999999</v>
      </c>
      <c r="BB4" s="9">
        <f t="shared" ref="BB4:BJ4" si="1">(BB3-BA3)/BA3</f>
        <v>-0.13012551072181683</v>
      </c>
      <c r="BC4" s="9">
        <f t="shared" si="1"/>
        <v>-0.12458467214471902</v>
      </c>
      <c r="BD4" s="9">
        <f t="shared" si="1"/>
        <v>-0.23066119582719183</v>
      </c>
      <c r="BE4" s="9">
        <f t="shared" si="1"/>
        <v>-0.11261009289959643</v>
      </c>
      <c r="BF4" s="9">
        <f t="shared" si="1"/>
        <v>2.5266775827913878E-3</v>
      </c>
      <c r="BG4" s="9">
        <f t="shared" si="1"/>
        <v>-0.11620155774749363</v>
      </c>
      <c r="BH4" s="9">
        <f t="shared" si="1"/>
        <v>-0.12379585529402035</v>
      </c>
      <c r="BI4" s="9">
        <f t="shared" si="1"/>
        <v>2.4996282213181988E-2</v>
      </c>
      <c r="BJ4" s="9">
        <f t="shared" si="1"/>
        <v>0</v>
      </c>
      <c r="BK4" s="9"/>
    </row>
    <row r="5" spans="1:63">
      <c r="A5" s="11" t="s">
        <v>6</v>
      </c>
      <c r="B5" s="12" t="s">
        <v>18</v>
      </c>
      <c r="C5" s="12">
        <f t="shared" ref="C5:BJ5" si="2">C2*C3</f>
        <v>0</v>
      </c>
      <c r="D5" s="12">
        <f t="shared" si="2"/>
        <v>0</v>
      </c>
      <c r="E5" s="12">
        <f t="shared" si="2"/>
        <v>0</v>
      </c>
      <c r="F5" s="12">
        <f t="shared" si="2"/>
        <v>0</v>
      </c>
      <c r="G5" s="12">
        <f t="shared" si="2"/>
        <v>0</v>
      </c>
      <c r="H5" s="12">
        <f t="shared" si="2"/>
        <v>0</v>
      </c>
      <c r="I5" s="12">
        <f t="shared" si="2"/>
        <v>0</v>
      </c>
      <c r="J5" s="12">
        <f t="shared" si="2"/>
        <v>0</v>
      </c>
      <c r="K5" s="12">
        <f t="shared" si="2"/>
        <v>0</v>
      </c>
      <c r="L5" s="12">
        <f t="shared" si="2"/>
        <v>0</v>
      </c>
      <c r="M5" s="12">
        <f t="shared" si="2"/>
        <v>0</v>
      </c>
      <c r="N5" s="12">
        <f t="shared" si="2"/>
        <v>0</v>
      </c>
      <c r="O5" s="12">
        <f t="shared" si="2"/>
        <v>0</v>
      </c>
      <c r="P5" s="12">
        <f t="shared" si="2"/>
        <v>0</v>
      </c>
      <c r="Q5" s="12">
        <f t="shared" si="2"/>
        <v>0</v>
      </c>
      <c r="R5" s="12">
        <f t="shared" si="2"/>
        <v>0</v>
      </c>
      <c r="S5" s="12">
        <f t="shared" si="2"/>
        <v>0</v>
      </c>
      <c r="T5" s="12">
        <f t="shared" si="2"/>
        <v>0</v>
      </c>
      <c r="U5" s="12">
        <f t="shared" si="2"/>
        <v>0</v>
      </c>
      <c r="V5" s="12">
        <f t="shared" si="2"/>
        <v>0</v>
      </c>
      <c r="W5" s="12">
        <f t="shared" si="2"/>
        <v>0</v>
      </c>
      <c r="X5" s="12">
        <f t="shared" si="2"/>
        <v>0</v>
      </c>
      <c r="Y5" s="12">
        <f t="shared" si="2"/>
        <v>0</v>
      </c>
      <c r="Z5" s="12">
        <f t="shared" si="2"/>
        <v>0</v>
      </c>
      <c r="AA5" s="12">
        <f t="shared" si="2"/>
        <v>0</v>
      </c>
      <c r="AB5" s="12">
        <f t="shared" si="2"/>
        <v>0</v>
      </c>
      <c r="AC5" s="12">
        <f t="shared" si="2"/>
        <v>0</v>
      </c>
      <c r="AD5" s="12">
        <f t="shared" si="2"/>
        <v>0</v>
      </c>
      <c r="AE5" s="12">
        <f t="shared" si="2"/>
        <v>0</v>
      </c>
      <c r="AF5" s="12">
        <f t="shared" si="2"/>
        <v>0</v>
      </c>
      <c r="AG5" s="12">
        <f t="shared" si="2"/>
        <v>0</v>
      </c>
      <c r="AH5" s="12">
        <f t="shared" si="2"/>
        <v>0</v>
      </c>
      <c r="AI5" s="12">
        <f t="shared" si="2"/>
        <v>0</v>
      </c>
      <c r="AJ5" s="12">
        <f t="shared" si="2"/>
        <v>0</v>
      </c>
      <c r="AK5" s="12">
        <f t="shared" si="2"/>
        <v>0</v>
      </c>
      <c r="AL5" s="12">
        <f t="shared" si="2"/>
        <v>0</v>
      </c>
      <c r="AM5" s="12">
        <f t="shared" si="2"/>
        <v>0</v>
      </c>
      <c r="AN5" s="12">
        <f t="shared" si="2"/>
        <v>0</v>
      </c>
      <c r="AO5" s="12">
        <f t="shared" si="2"/>
        <v>0</v>
      </c>
      <c r="AP5" s="12">
        <f t="shared" si="2"/>
        <v>0</v>
      </c>
      <c r="AQ5" s="12">
        <f t="shared" si="2"/>
        <v>0</v>
      </c>
      <c r="AR5" s="12">
        <f t="shared" si="2"/>
        <v>0</v>
      </c>
      <c r="AS5" s="12">
        <f t="shared" si="2"/>
        <v>0</v>
      </c>
      <c r="AT5" s="12">
        <f t="shared" si="2"/>
        <v>0</v>
      </c>
      <c r="AU5" s="12">
        <f t="shared" si="2"/>
        <v>0</v>
      </c>
      <c r="AV5" s="12">
        <f t="shared" si="2"/>
        <v>795.31225185568246</v>
      </c>
      <c r="AW5" s="12">
        <f t="shared" si="2"/>
        <v>727.21413805820919</v>
      </c>
      <c r="AX5" s="12">
        <f t="shared" si="2"/>
        <v>740.39165712320096</v>
      </c>
      <c r="AY5" s="12">
        <f t="shared" si="2"/>
        <v>752.97131454864791</v>
      </c>
      <c r="AZ5" s="12">
        <f t="shared" si="2"/>
        <v>781.44763310892176</v>
      </c>
      <c r="BA5" s="12">
        <f t="shared" si="2"/>
        <v>743.18132567633029</v>
      </c>
      <c r="BB5" s="12">
        <f t="shared" si="2"/>
        <v>605.75718496462343</v>
      </c>
      <c r="BC5" s="12">
        <f t="shared" si="2"/>
        <v>561.43224641269364</v>
      </c>
      <c r="BD5" s="12">
        <f t="shared" si="2"/>
        <v>505.34160759332542</v>
      </c>
      <c r="BE5" s="12">
        <f t="shared" si="2"/>
        <v>500.94828209362089</v>
      </c>
      <c r="BF5" s="12">
        <f t="shared" si="2"/>
        <v>463.6518355563685</v>
      </c>
      <c r="BG5" s="12">
        <f t="shared" si="2"/>
        <v>409.91009684795893</v>
      </c>
      <c r="BH5" s="12">
        <f t="shared" si="2"/>
        <v>381.16706992962361</v>
      </c>
      <c r="BI5" s="12">
        <f t="shared" si="2"/>
        <v>421.26123826493995</v>
      </c>
      <c r="BJ5" s="12">
        <f t="shared" si="2"/>
        <v>430.73895120877347</v>
      </c>
      <c r="BK5" s="12"/>
    </row>
    <row r="6" spans="1:63">
      <c r="A6" s="3" t="s">
        <v>10</v>
      </c>
      <c r="B6" s="2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  <c r="X6" s="4"/>
      <c r="Y6" s="4"/>
      <c r="Z6" s="4"/>
      <c r="AA6" s="4"/>
      <c r="AB6" s="4"/>
      <c r="AC6" s="4"/>
      <c r="AD6" s="2">
        <v>7656.7568306010899</v>
      </c>
      <c r="AE6" s="2">
        <v>6753.1534246575302</v>
      </c>
      <c r="AF6" s="2">
        <v>6382.9238547945197</v>
      </c>
      <c r="AG6" s="2">
        <v>6166.0042575342404</v>
      </c>
      <c r="AH6" s="2">
        <v>6008.0009918032702</v>
      </c>
      <c r="AI6" s="2">
        <v>6089.76036164383</v>
      </c>
      <c r="AJ6" s="2">
        <v>6021.2421917808197</v>
      </c>
      <c r="AK6" s="2">
        <v>6052.3624657534201</v>
      </c>
      <c r="AL6" s="2">
        <v>6476.8290901639302</v>
      </c>
      <c r="AM6" s="2">
        <v>7010.5122164383502</v>
      </c>
      <c r="AN6" s="4">
        <v>7676.0540000000001</v>
      </c>
      <c r="AO6" s="2">
        <v>8494.1910109589007</v>
      </c>
      <c r="AP6" s="2">
        <v>9239.1658469945305</v>
      </c>
      <c r="AQ6" s="2">
        <v>9490.9527753424609</v>
      </c>
      <c r="AR6" s="2">
        <v>9572.1766465753408</v>
      </c>
      <c r="AS6" s="2">
        <v>9862.3643616438294</v>
      </c>
      <c r="AT6" s="2">
        <v>9356.7836065573701</v>
      </c>
      <c r="AU6" s="2">
        <v>9495.3649315068396</v>
      </c>
      <c r="AV6" s="2">
        <v>9694.1144657534205</v>
      </c>
      <c r="AW6" s="2">
        <v>9773.5178082191705</v>
      </c>
      <c r="AX6" s="2">
        <v>9921.6092896174796</v>
      </c>
      <c r="AY6" s="2">
        <v>10053.843835616401</v>
      </c>
      <c r="AZ6" s="2">
        <v>10107.087671232801</v>
      </c>
      <c r="BA6" s="2">
        <v>10252.854794520499</v>
      </c>
      <c r="BB6" s="2">
        <v>10551.4972677595</v>
      </c>
      <c r="BC6" s="2">
        <v>10605.0493155023</v>
      </c>
      <c r="BD6" s="2">
        <v>10758.554834889001</v>
      </c>
      <c r="BE6" s="2">
        <v>10847.3741518755</v>
      </c>
      <c r="BF6" s="2">
        <v>9865.4217201948595</v>
      </c>
      <c r="BG6" s="2">
        <v>10111.8279307793</v>
      </c>
      <c r="BH6" s="2">
        <v>10318.971480300699</v>
      </c>
      <c r="BI6" s="2">
        <v>10276.559342009399</v>
      </c>
      <c r="BJ6" s="2">
        <v>9891.8754120420199</v>
      </c>
      <c r="BK6" s="4">
        <v>9885.1090000000004</v>
      </c>
    </row>
    <row r="7" spans="1:63">
      <c r="A7" s="3" t="s">
        <v>10</v>
      </c>
      <c r="B7" s="6" t="s">
        <v>12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>
        <f t="shared" ref="AV7:BJ7" si="3">AV8/AV6</f>
        <v>1.2430222525811161E-2</v>
      </c>
      <c r="AW7" s="13">
        <f t="shared" si="3"/>
        <v>1.2329235221596865E-2</v>
      </c>
      <c r="AX7" s="13">
        <f t="shared" si="3"/>
        <v>1.2145207141556952E-2</v>
      </c>
      <c r="AY7" s="13">
        <f t="shared" si="3"/>
        <v>1.1985465655744607E-2</v>
      </c>
      <c r="AZ7" s="13">
        <f t="shared" si="3"/>
        <v>1.192232658107557E-2</v>
      </c>
      <c r="BA7" s="13">
        <f t="shared" si="3"/>
        <v>1.3427154624314075E-2</v>
      </c>
      <c r="BB7" s="13">
        <f t="shared" si="3"/>
        <v>1.4674062780306302E-2</v>
      </c>
      <c r="BC7" s="13">
        <f t="shared" si="3"/>
        <v>1.6218689313266369E-2</v>
      </c>
      <c r="BD7" s="13">
        <f t="shared" si="3"/>
        <v>1.7582906772312633E-2</v>
      </c>
      <c r="BE7" s="13">
        <f t="shared" si="3"/>
        <v>1.9021500544226962E-2</v>
      </c>
      <c r="BF7" s="13">
        <f t="shared" si="3"/>
        <v>2.2654885552686278E-2</v>
      </c>
      <c r="BG7" s="13">
        <f t="shared" si="3"/>
        <v>2.3800510482788532E-2</v>
      </c>
      <c r="BH7" s="13">
        <f t="shared" si="3"/>
        <v>2.4986340336878216E-2</v>
      </c>
      <c r="BI7" s="14">
        <f t="shared" si="3"/>
        <v>2.6759929159931133E-2</v>
      </c>
      <c r="BJ7" s="14">
        <f t="shared" si="3"/>
        <v>2.9536023705979284E-2</v>
      </c>
      <c r="BK7" s="13"/>
    </row>
    <row r="8" spans="1:63">
      <c r="A8" s="11" t="s">
        <v>10</v>
      </c>
      <c r="B8" s="12" t="s">
        <v>18</v>
      </c>
      <c r="C8" s="12">
        <f t="shared" ref="C8:AU8" si="4">C6*C7</f>
        <v>0</v>
      </c>
      <c r="D8" s="12">
        <f t="shared" si="4"/>
        <v>0</v>
      </c>
      <c r="E8" s="12">
        <f t="shared" si="4"/>
        <v>0</v>
      </c>
      <c r="F8" s="12">
        <f t="shared" si="4"/>
        <v>0</v>
      </c>
      <c r="G8" s="12">
        <f t="shared" si="4"/>
        <v>0</v>
      </c>
      <c r="H8" s="12">
        <f t="shared" si="4"/>
        <v>0</v>
      </c>
      <c r="I8" s="12">
        <f t="shared" si="4"/>
        <v>0</v>
      </c>
      <c r="J8" s="12">
        <f t="shared" si="4"/>
        <v>0</v>
      </c>
      <c r="K8" s="12">
        <f t="shared" si="4"/>
        <v>0</v>
      </c>
      <c r="L8" s="12">
        <f t="shared" si="4"/>
        <v>0</v>
      </c>
      <c r="M8" s="12">
        <f t="shared" si="4"/>
        <v>0</v>
      </c>
      <c r="N8" s="12">
        <f t="shared" si="4"/>
        <v>0</v>
      </c>
      <c r="O8" s="12">
        <f t="shared" si="4"/>
        <v>0</v>
      </c>
      <c r="P8" s="12">
        <f t="shared" si="4"/>
        <v>0</v>
      </c>
      <c r="Q8" s="12">
        <f t="shared" si="4"/>
        <v>0</v>
      </c>
      <c r="R8" s="12">
        <f t="shared" si="4"/>
        <v>0</v>
      </c>
      <c r="S8" s="12">
        <f t="shared" si="4"/>
        <v>0</v>
      </c>
      <c r="T8" s="12">
        <f t="shared" si="4"/>
        <v>0</v>
      </c>
      <c r="U8" s="12">
        <f t="shared" si="4"/>
        <v>0</v>
      </c>
      <c r="V8" s="12">
        <f t="shared" si="4"/>
        <v>0</v>
      </c>
      <c r="W8" s="12">
        <f t="shared" si="4"/>
        <v>0</v>
      </c>
      <c r="X8" s="12">
        <f t="shared" si="4"/>
        <v>0</v>
      </c>
      <c r="Y8" s="12">
        <f t="shared" si="4"/>
        <v>0</v>
      </c>
      <c r="Z8" s="12">
        <f t="shared" si="4"/>
        <v>0</v>
      </c>
      <c r="AA8" s="12">
        <f t="shared" si="4"/>
        <v>0</v>
      </c>
      <c r="AB8" s="12">
        <f t="shared" si="4"/>
        <v>0</v>
      </c>
      <c r="AC8" s="12">
        <f t="shared" si="4"/>
        <v>0</v>
      </c>
      <c r="AD8" s="12">
        <f t="shared" si="4"/>
        <v>0</v>
      </c>
      <c r="AE8" s="12">
        <f t="shared" si="4"/>
        <v>0</v>
      </c>
      <c r="AF8" s="12">
        <f t="shared" si="4"/>
        <v>0</v>
      </c>
      <c r="AG8" s="12">
        <f t="shared" si="4"/>
        <v>0</v>
      </c>
      <c r="AH8" s="12">
        <f t="shared" si="4"/>
        <v>0</v>
      </c>
      <c r="AI8" s="12">
        <f t="shared" si="4"/>
        <v>0</v>
      </c>
      <c r="AJ8" s="12">
        <f t="shared" si="4"/>
        <v>0</v>
      </c>
      <c r="AK8" s="12">
        <f t="shared" si="4"/>
        <v>0</v>
      </c>
      <c r="AL8" s="12">
        <f t="shared" si="4"/>
        <v>0</v>
      </c>
      <c r="AM8" s="12">
        <f t="shared" si="4"/>
        <v>0</v>
      </c>
      <c r="AN8" s="12">
        <f t="shared" si="4"/>
        <v>0</v>
      </c>
      <c r="AO8" s="12">
        <f t="shared" si="4"/>
        <v>0</v>
      </c>
      <c r="AP8" s="12">
        <f t="shared" si="4"/>
        <v>0</v>
      </c>
      <c r="AQ8" s="12">
        <f t="shared" si="4"/>
        <v>0</v>
      </c>
      <c r="AR8" s="12">
        <f t="shared" si="4"/>
        <v>0</v>
      </c>
      <c r="AS8" s="12">
        <f t="shared" si="4"/>
        <v>0</v>
      </c>
      <c r="AT8" s="12">
        <f t="shared" si="4"/>
        <v>0</v>
      </c>
      <c r="AU8" s="12">
        <f t="shared" si="4"/>
        <v>0</v>
      </c>
      <c r="AV8" s="11">
        <v>120.5</v>
      </c>
      <c r="AW8" s="11">
        <v>120.5</v>
      </c>
      <c r="AX8" s="11">
        <v>120.5</v>
      </c>
      <c r="AY8" s="11">
        <v>120.5</v>
      </c>
      <c r="AZ8" s="11">
        <v>120.5</v>
      </c>
      <c r="BA8" s="15">
        <f t="shared" ref="BA8:BH8" si="5">AZ8+($BI$8-$AZ$8)/9</f>
        <v>137.66666666666666</v>
      </c>
      <c r="BB8" s="15">
        <f t="shared" si="5"/>
        <v>154.83333333333331</v>
      </c>
      <c r="BC8" s="15">
        <f t="shared" si="5"/>
        <v>171.99999999999997</v>
      </c>
      <c r="BD8" s="15">
        <f t="shared" si="5"/>
        <v>189.16666666666663</v>
      </c>
      <c r="BE8" s="15">
        <f t="shared" si="5"/>
        <v>206.33333333333329</v>
      </c>
      <c r="BF8" s="15">
        <f t="shared" si="5"/>
        <v>223.49999999999994</v>
      </c>
      <c r="BG8" s="15">
        <f t="shared" si="5"/>
        <v>240.6666666666666</v>
      </c>
      <c r="BH8" s="15">
        <f t="shared" si="5"/>
        <v>257.83333333333326</v>
      </c>
      <c r="BI8" s="11">
        <v>275</v>
      </c>
      <c r="BJ8" s="15">
        <f>BI8+($BI$8-$AZ$8)/9</f>
        <v>292.16666666666669</v>
      </c>
      <c r="BK8" s="15"/>
    </row>
    <row r="9" spans="1:63">
      <c r="A9" s="2" t="s">
        <v>11</v>
      </c>
      <c r="B9" s="2" t="s">
        <v>7</v>
      </c>
      <c r="C9" s="4"/>
      <c r="D9" s="4"/>
      <c r="E9" s="4"/>
      <c r="F9" s="4"/>
      <c r="G9" s="4"/>
      <c r="H9" s="4"/>
      <c r="I9" s="4"/>
      <c r="J9" s="4"/>
      <c r="K9" s="4">
        <v>7596.1369999999997</v>
      </c>
      <c r="L9" s="2">
        <v>8479.8876712328693</v>
      </c>
      <c r="M9" s="4">
        <v>7075.0739999999996</v>
      </c>
      <c r="N9" s="2">
        <v>8576.9672131147508</v>
      </c>
      <c r="O9" s="2">
        <v>9245.0191780821897</v>
      </c>
      <c r="P9" s="2">
        <v>8300.7123287671202</v>
      </c>
      <c r="Q9" s="2">
        <v>9531.9561643835605</v>
      </c>
      <c r="R9" s="2">
        <v>9900.1584699453506</v>
      </c>
      <c r="S9" s="4">
        <v>9814.9480000000003</v>
      </c>
      <c r="T9" s="2">
        <v>6482.9917808219097</v>
      </c>
      <c r="U9" s="2">
        <v>5085.8958904109504</v>
      </c>
      <c r="V9" s="4">
        <v>4443.4430000000002</v>
      </c>
      <c r="W9" s="2">
        <v>3387.8219178082099</v>
      </c>
      <c r="X9" s="2">
        <v>4870.0164383561596</v>
      </c>
      <c r="Y9" s="2">
        <v>4264.9917808219097</v>
      </c>
      <c r="Z9" s="2">
        <v>5085.9508196721299</v>
      </c>
      <c r="AA9" s="2">
        <v>5064.1561643835603</v>
      </c>
      <c r="AB9" s="2">
        <v>6410.0465753424596</v>
      </c>
      <c r="AC9" s="2">
        <v>8115.1534246575302</v>
      </c>
      <c r="AD9" s="4">
        <v>8216.2019999999993</v>
      </c>
      <c r="AE9" s="2">
        <v>7959.0410958904104</v>
      </c>
      <c r="AF9" s="2">
        <v>7898.5315068493101</v>
      </c>
      <c r="AG9" s="2">
        <v>7936.5068493150602</v>
      </c>
      <c r="AH9" s="2">
        <v>7907.9508196721299</v>
      </c>
      <c r="AI9" s="2">
        <v>8083.7260273972597</v>
      </c>
      <c r="AJ9" s="2">
        <v>8092.0547945205399</v>
      </c>
      <c r="AK9" s="2">
        <v>7519.79452054794</v>
      </c>
      <c r="AL9" s="2">
        <v>7997.3360655737697</v>
      </c>
      <c r="AM9" s="2">
        <v>7697.6273972602703</v>
      </c>
      <c r="AN9" s="2">
        <v>7379.7397260273901</v>
      </c>
      <c r="AO9" s="2">
        <v>9067.9054794520507</v>
      </c>
      <c r="AP9" s="2">
        <v>9291.4453551912502</v>
      </c>
      <c r="AQ9" s="4">
        <v>9779.9150000000009</v>
      </c>
      <c r="AR9" s="2">
        <v>9642.1183561643793</v>
      </c>
      <c r="AS9" s="2">
        <v>9190.0888630136906</v>
      </c>
      <c r="AT9" s="2">
        <v>9261.2509699453494</v>
      </c>
      <c r="AU9" s="2">
        <v>8250.1124465753401</v>
      </c>
      <c r="AV9" s="2">
        <v>8417.0124552260204</v>
      </c>
      <c r="AW9" s="4">
        <v>9620.2870000000003</v>
      </c>
      <c r="AX9" s="2">
        <v>9996.5799620715807</v>
      </c>
      <c r="AY9" s="2">
        <v>9872.8704543314998</v>
      </c>
      <c r="AZ9" s="2">
        <v>9905.3209196534208</v>
      </c>
      <c r="BA9" s="2">
        <v>10335.6177624424</v>
      </c>
      <c r="BB9" s="2">
        <v>10634.7103825136</v>
      </c>
      <c r="BC9" s="2">
        <v>10305.4246575342</v>
      </c>
      <c r="BD9" s="2">
        <v>10598.136986301301</v>
      </c>
      <c r="BE9" s="4">
        <v>9980.9040000000005</v>
      </c>
      <c r="BF9" s="2">
        <v>9405.6666666666606</v>
      </c>
      <c r="BG9" s="2">
        <v>9311.5468024320508</v>
      </c>
      <c r="BH9" s="2">
        <v>10664.561643835599</v>
      </c>
      <c r="BI9" s="2">
        <v>9748.4425178082092</v>
      </c>
      <c r="BJ9" s="2">
        <v>9232.15445628415</v>
      </c>
      <c r="BK9" s="2">
        <v>9556.0540356164292</v>
      </c>
    </row>
    <row r="10" spans="1:63">
      <c r="A10" s="16" t="s">
        <v>11</v>
      </c>
      <c r="B10" s="6" t="s">
        <v>12</v>
      </c>
      <c r="C10" s="6">
        <v>2.5000000000000001E-2</v>
      </c>
      <c r="D10" s="6">
        <v>2.5000000000000001E-2</v>
      </c>
      <c r="E10" s="6">
        <v>2.5000000000000001E-2</v>
      </c>
      <c r="F10" s="6">
        <v>2.5000000000000001E-2</v>
      </c>
      <c r="G10" s="6">
        <v>2.5000000000000001E-2</v>
      </c>
      <c r="H10" s="6">
        <v>2.5000000000000001E-2</v>
      </c>
      <c r="I10" s="6">
        <v>2.5000000000000001E-2</v>
      </c>
      <c r="J10" s="6">
        <v>2.5000000000000001E-2</v>
      </c>
      <c r="K10" s="6">
        <v>2.5000000000000001E-2</v>
      </c>
      <c r="L10" s="6">
        <v>2.5000000000000001E-2</v>
      </c>
      <c r="M10" s="6">
        <v>2.5000000000000001E-2</v>
      </c>
      <c r="N10" s="6">
        <v>2.5000000000000001E-2</v>
      </c>
      <c r="O10" s="6">
        <v>2.5000000000000001E-2</v>
      </c>
      <c r="P10" s="6">
        <v>2.5000000000000001E-2</v>
      </c>
      <c r="Q10" s="6">
        <v>2.5000000000000001E-2</v>
      </c>
      <c r="R10" s="6">
        <v>2.5000000000000001E-2</v>
      </c>
      <c r="S10" s="6">
        <v>2.5000000000000001E-2</v>
      </c>
      <c r="T10" s="6">
        <v>2.5000000000000001E-2</v>
      </c>
      <c r="U10" s="6">
        <v>2.5000000000000001E-2</v>
      </c>
      <c r="V10" s="6">
        <v>2.5000000000000001E-2</v>
      </c>
      <c r="W10" s="6">
        <v>2.5000000000000001E-2</v>
      </c>
      <c r="X10" s="6">
        <v>2.5000000000000001E-2</v>
      </c>
      <c r="Y10" s="6">
        <v>2.5000000000000001E-2</v>
      </c>
      <c r="Z10" s="6">
        <v>2.5000000000000001E-2</v>
      </c>
      <c r="AA10" s="6">
        <v>2.5000000000000001E-2</v>
      </c>
      <c r="AB10" s="6">
        <v>2.5000000000000001E-2</v>
      </c>
      <c r="AC10" s="6">
        <v>2.5000000000000001E-2</v>
      </c>
      <c r="AD10" s="6">
        <v>2.5000000000000001E-2</v>
      </c>
      <c r="AE10" s="6">
        <v>2.5000000000000001E-2</v>
      </c>
      <c r="AF10" s="6">
        <v>2.5000000000000001E-2</v>
      </c>
      <c r="AG10" s="6">
        <v>2.5000000000000001E-2</v>
      </c>
      <c r="AH10" s="6">
        <v>2.5000000000000001E-2</v>
      </c>
      <c r="AI10" s="6">
        <v>2.5000000000000001E-2</v>
      </c>
      <c r="AJ10" s="6">
        <v>2.5000000000000001E-2</v>
      </c>
      <c r="AK10" s="6">
        <v>2.5000000000000001E-2</v>
      </c>
      <c r="AL10" s="6">
        <v>2.5000000000000001E-2</v>
      </c>
      <c r="AM10" s="6">
        <v>2.5000000000000001E-2</v>
      </c>
      <c r="AN10" s="6">
        <v>2.5000000000000001E-2</v>
      </c>
      <c r="AO10" s="6">
        <v>2.5000000000000001E-2</v>
      </c>
      <c r="AP10" s="6">
        <v>2.5000000000000001E-2</v>
      </c>
      <c r="AQ10" s="6">
        <v>2.5000000000000001E-2</v>
      </c>
      <c r="AR10" s="6">
        <v>2.5000000000000001E-2</v>
      </c>
      <c r="AS10" s="6">
        <v>2.5000000000000001E-2</v>
      </c>
      <c r="AT10" s="6">
        <v>2.5000000000000001E-2</v>
      </c>
      <c r="AU10" s="6">
        <v>2.5000000000000001E-2</v>
      </c>
      <c r="AV10" s="6">
        <v>2.5000000000000001E-2</v>
      </c>
      <c r="AW10" s="6">
        <v>2.5000000000000001E-2</v>
      </c>
      <c r="AX10" s="6">
        <v>2.5000000000000001E-2</v>
      </c>
      <c r="AY10" s="6">
        <v>2.5000000000000001E-2</v>
      </c>
      <c r="AZ10" s="6">
        <v>0.02</v>
      </c>
      <c r="BA10" s="6">
        <v>0.01</v>
      </c>
      <c r="BB10" s="6">
        <v>0</v>
      </c>
      <c r="BC10" s="6">
        <v>0</v>
      </c>
      <c r="BD10" s="6">
        <v>0</v>
      </c>
      <c r="BE10" s="6">
        <v>0</v>
      </c>
      <c r="BF10" s="6">
        <v>1.4999999999999999E-2</v>
      </c>
      <c r="BG10" s="6">
        <v>2.5000000000000001E-2</v>
      </c>
      <c r="BH10" s="6">
        <v>2.5000000000000001E-2</v>
      </c>
      <c r="BI10" s="6">
        <v>2.5000000000000001E-2</v>
      </c>
      <c r="BJ10" s="6">
        <v>2.5000000000000001E-2</v>
      </c>
      <c r="BK10" s="6"/>
    </row>
    <row r="11" spans="1:63">
      <c r="A11" s="12" t="s">
        <v>11</v>
      </c>
      <c r="B11" s="12" t="s">
        <v>18</v>
      </c>
      <c r="C11" s="12">
        <f t="shared" ref="C11:BJ11" si="6">C9*C10</f>
        <v>0</v>
      </c>
      <c r="D11" s="12">
        <f t="shared" si="6"/>
        <v>0</v>
      </c>
      <c r="E11" s="12">
        <f t="shared" si="6"/>
        <v>0</v>
      </c>
      <c r="F11" s="12">
        <f t="shared" si="6"/>
        <v>0</v>
      </c>
      <c r="G11" s="12">
        <f t="shared" si="6"/>
        <v>0</v>
      </c>
      <c r="H11" s="12">
        <f t="shared" si="6"/>
        <v>0</v>
      </c>
      <c r="I11" s="12">
        <f t="shared" si="6"/>
        <v>0</v>
      </c>
      <c r="J11" s="12">
        <f t="shared" si="6"/>
        <v>0</v>
      </c>
      <c r="K11" s="12">
        <f t="shared" si="6"/>
        <v>189.903425</v>
      </c>
      <c r="L11" s="12">
        <f t="shared" si="6"/>
        <v>211.99719178082174</v>
      </c>
      <c r="M11" s="12">
        <f t="shared" si="6"/>
        <v>176.87684999999999</v>
      </c>
      <c r="N11" s="12">
        <f t="shared" si="6"/>
        <v>214.42418032786878</v>
      </c>
      <c r="O11" s="12">
        <f t="shared" si="6"/>
        <v>231.12547945205475</v>
      </c>
      <c r="P11" s="12">
        <f t="shared" si="6"/>
        <v>207.51780821917802</v>
      </c>
      <c r="Q11" s="12">
        <f t="shared" si="6"/>
        <v>238.29890410958902</v>
      </c>
      <c r="R11" s="12">
        <f t="shared" si="6"/>
        <v>247.50396174863377</v>
      </c>
      <c r="S11" s="12">
        <f t="shared" si="6"/>
        <v>245.37370000000001</v>
      </c>
      <c r="T11" s="12">
        <f t="shared" si="6"/>
        <v>162.07479452054775</v>
      </c>
      <c r="U11" s="12">
        <f t="shared" si="6"/>
        <v>127.14739726027376</v>
      </c>
      <c r="V11" s="12">
        <f t="shared" si="6"/>
        <v>111.08607500000001</v>
      </c>
      <c r="W11" s="12">
        <f t="shared" si="6"/>
        <v>84.695547945205249</v>
      </c>
      <c r="X11" s="12">
        <f t="shared" si="6"/>
        <v>121.750410958904</v>
      </c>
      <c r="Y11" s="12">
        <f t="shared" si="6"/>
        <v>106.62479452054775</v>
      </c>
      <c r="Z11" s="12">
        <f t="shared" si="6"/>
        <v>127.14877049180325</v>
      </c>
      <c r="AA11" s="12">
        <f t="shared" si="6"/>
        <v>126.60390410958901</v>
      </c>
      <c r="AB11" s="12">
        <f t="shared" si="6"/>
        <v>160.2511643835615</v>
      </c>
      <c r="AC11" s="12">
        <f t="shared" si="6"/>
        <v>202.87883561643827</v>
      </c>
      <c r="AD11" s="12">
        <f t="shared" si="6"/>
        <v>205.40504999999999</v>
      </c>
      <c r="AE11" s="12">
        <f t="shared" si="6"/>
        <v>198.97602739726028</v>
      </c>
      <c r="AF11" s="12">
        <f t="shared" si="6"/>
        <v>197.46328767123276</v>
      </c>
      <c r="AG11" s="12">
        <f t="shared" si="6"/>
        <v>198.41267123287651</v>
      </c>
      <c r="AH11" s="12">
        <f t="shared" si="6"/>
        <v>197.69877049180326</v>
      </c>
      <c r="AI11" s="12">
        <f t="shared" si="6"/>
        <v>202.09315068493152</v>
      </c>
      <c r="AJ11" s="12">
        <f t="shared" si="6"/>
        <v>202.30136986301352</v>
      </c>
      <c r="AK11" s="12">
        <f t="shared" si="6"/>
        <v>187.99486301369851</v>
      </c>
      <c r="AL11" s="12">
        <f t="shared" si="6"/>
        <v>199.93340163934425</v>
      </c>
      <c r="AM11" s="12">
        <f t="shared" si="6"/>
        <v>192.44068493150678</v>
      </c>
      <c r="AN11" s="12">
        <f t="shared" si="6"/>
        <v>184.49349315068477</v>
      </c>
      <c r="AO11" s="12">
        <f t="shared" si="6"/>
        <v>226.69763698630129</v>
      </c>
      <c r="AP11" s="12">
        <f t="shared" si="6"/>
        <v>232.28613387978126</v>
      </c>
      <c r="AQ11" s="12">
        <f t="shared" si="6"/>
        <v>244.49787500000002</v>
      </c>
      <c r="AR11" s="12">
        <f t="shared" si="6"/>
        <v>241.05295890410949</v>
      </c>
      <c r="AS11" s="12">
        <f t="shared" si="6"/>
        <v>229.75222157534228</v>
      </c>
      <c r="AT11" s="12">
        <f t="shared" si="6"/>
        <v>231.53127424863374</v>
      </c>
      <c r="AU11" s="12">
        <f t="shared" si="6"/>
        <v>206.2528111643835</v>
      </c>
      <c r="AV11" s="12">
        <f t="shared" si="6"/>
        <v>210.42531138065053</v>
      </c>
      <c r="AW11" s="12">
        <f t="shared" si="6"/>
        <v>240.50717500000002</v>
      </c>
      <c r="AX11" s="12">
        <f t="shared" si="6"/>
        <v>249.91449905178953</v>
      </c>
      <c r="AY11" s="12">
        <f t="shared" si="6"/>
        <v>246.82176135828752</v>
      </c>
      <c r="AZ11" s="12">
        <f t="shared" si="6"/>
        <v>198.10641839306842</v>
      </c>
      <c r="BA11" s="12">
        <f t="shared" si="6"/>
        <v>103.35617762442401</v>
      </c>
      <c r="BB11" s="12">
        <f t="shared" si="6"/>
        <v>0</v>
      </c>
      <c r="BC11" s="12">
        <f t="shared" si="6"/>
        <v>0</v>
      </c>
      <c r="BD11" s="12">
        <f t="shared" si="6"/>
        <v>0</v>
      </c>
      <c r="BE11" s="12">
        <f t="shared" si="6"/>
        <v>0</v>
      </c>
      <c r="BF11" s="12">
        <f t="shared" si="6"/>
        <v>141.08499999999989</v>
      </c>
      <c r="BG11" s="12">
        <f t="shared" si="6"/>
        <v>232.78867006080128</v>
      </c>
      <c r="BH11" s="12">
        <f t="shared" si="6"/>
        <v>266.61404109589</v>
      </c>
      <c r="BI11" s="12">
        <f t="shared" si="6"/>
        <v>243.71106294520524</v>
      </c>
      <c r="BJ11" s="12">
        <f t="shared" si="6"/>
        <v>230.80386140710377</v>
      </c>
      <c r="BK11" s="12"/>
    </row>
    <row r="12" spans="1:63">
      <c r="A12" s="2" t="s">
        <v>1</v>
      </c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2">
        <v>1798.10958904109</v>
      </c>
      <c r="L12" s="2">
        <v>1550.9534246575299</v>
      </c>
      <c r="M12" s="2">
        <v>1430.2301369863001</v>
      </c>
      <c r="N12" s="2">
        <v>1313.98360655737</v>
      </c>
      <c r="O12" s="2">
        <v>1321.1342465753401</v>
      </c>
      <c r="P12" s="2">
        <v>1316.02191780821</v>
      </c>
      <c r="Q12" s="2">
        <v>1500.17808219178</v>
      </c>
      <c r="R12" s="2">
        <v>1435.2021857923401</v>
      </c>
      <c r="S12" s="2">
        <v>1284.72876712328</v>
      </c>
      <c r="T12" s="2">
        <v>1271.1506849315001</v>
      </c>
      <c r="U12" s="2">
        <v>1356.2301369863001</v>
      </c>
      <c r="V12" s="4">
        <v>1570.623</v>
      </c>
      <c r="W12" s="4">
        <v>1639.0519999999999</v>
      </c>
      <c r="X12" s="4">
        <v>1659.14</v>
      </c>
      <c r="Y12" s="4">
        <v>1715.386</v>
      </c>
      <c r="Z12" s="4">
        <v>1816.768</v>
      </c>
      <c r="AA12" s="4">
        <v>1765.0989999999999</v>
      </c>
      <c r="AB12" s="4">
        <v>1761.444</v>
      </c>
      <c r="AC12" s="4">
        <v>1775.2270000000001</v>
      </c>
      <c r="AD12" s="4">
        <v>1597.88</v>
      </c>
      <c r="AE12" s="4">
        <v>1668.567</v>
      </c>
      <c r="AF12" s="4">
        <v>1752.6849999999999</v>
      </c>
      <c r="AG12" s="4">
        <v>1816.03</v>
      </c>
      <c r="AH12" s="4">
        <v>1851.681</v>
      </c>
      <c r="AI12" s="4">
        <v>1948.9680000000001</v>
      </c>
      <c r="AJ12" s="4">
        <v>2025.3320000000001</v>
      </c>
      <c r="AK12" s="4">
        <v>1920.3009999999999</v>
      </c>
      <c r="AL12" s="4">
        <v>2011.7329999999999</v>
      </c>
      <c r="AM12" s="4">
        <v>2051.672</v>
      </c>
      <c r="AN12" s="4">
        <v>2203.0070000000001</v>
      </c>
      <c r="AO12" s="4">
        <v>2417.259</v>
      </c>
      <c r="AP12" s="4">
        <v>2501.482</v>
      </c>
      <c r="AQ12" s="4">
        <v>2451.998</v>
      </c>
      <c r="AR12" s="4">
        <v>2596.1439999999998</v>
      </c>
      <c r="AS12" s="4">
        <v>2702.873</v>
      </c>
      <c r="AT12" s="2">
        <v>2579.3088606557299</v>
      </c>
      <c r="AU12" s="2">
        <v>2579.4798493150602</v>
      </c>
      <c r="AV12" s="2">
        <v>2740.7561643835602</v>
      </c>
      <c r="AW12" s="2">
        <v>2900.64657534246</v>
      </c>
      <c r="AX12" s="2">
        <v>3137.8387978142</v>
      </c>
      <c r="AY12" s="2">
        <v>3325.1287671232799</v>
      </c>
      <c r="AZ12" s="2">
        <v>3613.2246575342401</v>
      </c>
      <c r="BA12" s="2">
        <v>3677.1260273972598</v>
      </c>
      <c r="BB12" s="2">
        <v>3679.0464480874298</v>
      </c>
      <c r="BC12" s="2">
        <v>3990.1095890410902</v>
      </c>
      <c r="BD12" s="2">
        <v>4343.3616438356103</v>
      </c>
      <c r="BE12" s="2">
        <v>4407.7561643835597</v>
      </c>
      <c r="BF12" s="2">
        <v>4180.4371584699402</v>
      </c>
      <c r="BG12" s="2">
        <v>4439.3698630136896</v>
      </c>
      <c r="BH12" s="2">
        <v>4543.2921205479397</v>
      </c>
      <c r="BI12" s="2">
        <v>4594.11826027397</v>
      </c>
      <c r="BJ12" s="2">
        <v>4776.3930355191196</v>
      </c>
      <c r="BK12" s="2">
        <v>4964.1043534246501</v>
      </c>
    </row>
    <row r="13" spans="1:63">
      <c r="A13" s="2" t="s">
        <v>1</v>
      </c>
      <c r="B13" s="6" t="s">
        <v>12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17">
        <v>0.54</v>
      </c>
      <c r="AM13" s="17">
        <v>0.56000000000000005</v>
      </c>
      <c r="AN13" s="17">
        <v>0.55000000000000004</v>
      </c>
      <c r="AO13" s="17">
        <v>0.56000000000000005</v>
      </c>
      <c r="AP13" s="17">
        <v>0.6</v>
      </c>
      <c r="AQ13" s="17">
        <v>0.6</v>
      </c>
      <c r="AR13" s="17">
        <v>0.62</v>
      </c>
      <c r="AS13" s="17">
        <v>0.62</v>
      </c>
      <c r="AT13" s="17">
        <v>0.62</v>
      </c>
      <c r="AU13" s="17">
        <v>0.65</v>
      </c>
      <c r="AV13" s="17">
        <v>0.67</v>
      </c>
      <c r="AW13" s="17">
        <v>0.68</v>
      </c>
      <c r="AX13" s="17">
        <v>0.69</v>
      </c>
      <c r="AY13" s="17">
        <v>0.69</v>
      </c>
      <c r="AZ13" s="17">
        <v>0.7</v>
      </c>
      <c r="BA13" s="17">
        <v>0.72</v>
      </c>
      <c r="BB13" s="17">
        <v>0.72</v>
      </c>
      <c r="BC13" s="17">
        <v>0.73</v>
      </c>
      <c r="BD13" s="17">
        <v>0.73</v>
      </c>
      <c r="BE13" s="17">
        <v>0.74</v>
      </c>
      <c r="BF13" s="17">
        <v>0.75</v>
      </c>
      <c r="BG13" s="17">
        <v>0.77</v>
      </c>
      <c r="BH13" s="17">
        <v>0.77</v>
      </c>
      <c r="BI13" s="17">
        <v>0.77</v>
      </c>
      <c r="BJ13" s="17">
        <v>0.77</v>
      </c>
      <c r="BK13" s="17"/>
    </row>
    <row r="14" spans="1:63">
      <c r="A14" s="12" t="s">
        <v>1</v>
      </c>
      <c r="B14" s="12" t="s">
        <v>18</v>
      </c>
      <c r="C14" s="12">
        <f t="shared" ref="C14:BJ14" si="7">C12*C13</f>
        <v>0</v>
      </c>
      <c r="D14" s="12">
        <f t="shared" si="7"/>
        <v>0</v>
      </c>
      <c r="E14" s="12">
        <f t="shared" si="7"/>
        <v>0</v>
      </c>
      <c r="F14" s="12">
        <f t="shared" si="7"/>
        <v>0</v>
      </c>
      <c r="G14" s="12">
        <f t="shared" si="7"/>
        <v>0</v>
      </c>
      <c r="H14" s="12">
        <f t="shared" si="7"/>
        <v>0</v>
      </c>
      <c r="I14" s="12">
        <f t="shared" si="7"/>
        <v>0</v>
      </c>
      <c r="J14" s="12">
        <f t="shared" si="7"/>
        <v>0</v>
      </c>
      <c r="K14" s="12">
        <f t="shared" si="7"/>
        <v>0</v>
      </c>
      <c r="L14" s="12">
        <f t="shared" si="7"/>
        <v>0</v>
      </c>
      <c r="M14" s="12">
        <f t="shared" si="7"/>
        <v>0</v>
      </c>
      <c r="N14" s="12">
        <f t="shared" si="7"/>
        <v>0</v>
      </c>
      <c r="O14" s="12">
        <f t="shared" si="7"/>
        <v>0</v>
      </c>
      <c r="P14" s="12">
        <f t="shared" si="7"/>
        <v>0</v>
      </c>
      <c r="Q14" s="12">
        <f t="shared" si="7"/>
        <v>0</v>
      </c>
      <c r="R14" s="12">
        <f t="shared" si="7"/>
        <v>0</v>
      </c>
      <c r="S14" s="12">
        <f t="shared" si="7"/>
        <v>0</v>
      </c>
      <c r="T14" s="12">
        <f t="shared" si="7"/>
        <v>0</v>
      </c>
      <c r="U14" s="12">
        <f t="shared" si="7"/>
        <v>0</v>
      </c>
      <c r="V14" s="12">
        <f t="shared" si="7"/>
        <v>0</v>
      </c>
      <c r="W14" s="12">
        <f t="shared" si="7"/>
        <v>0</v>
      </c>
      <c r="X14" s="12">
        <f t="shared" si="7"/>
        <v>0</v>
      </c>
      <c r="Y14" s="12">
        <f t="shared" si="7"/>
        <v>0</v>
      </c>
      <c r="Z14" s="12">
        <f t="shared" si="7"/>
        <v>0</v>
      </c>
      <c r="AA14" s="12">
        <f t="shared" si="7"/>
        <v>0</v>
      </c>
      <c r="AB14" s="12">
        <f t="shared" si="7"/>
        <v>0</v>
      </c>
      <c r="AC14" s="12">
        <f t="shared" si="7"/>
        <v>0</v>
      </c>
      <c r="AD14" s="12">
        <f t="shared" si="7"/>
        <v>0</v>
      </c>
      <c r="AE14" s="12">
        <f t="shared" si="7"/>
        <v>0</v>
      </c>
      <c r="AF14" s="12">
        <f t="shared" si="7"/>
        <v>0</v>
      </c>
      <c r="AG14" s="12">
        <f t="shared" si="7"/>
        <v>0</v>
      </c>
      <c r="AH14" s="12">
        <f t="shared" si="7"/>
        <v>0</v>
      </c>
      <c r="AI14" s="12">
        <f t="shared" si="7"/>
        <v>0</v>
      </c>
      <c r="AJ14" s="12">
        <f t="shared" si="7"/>
        <v>0</v>
      </c>
      <c r="AK14" s="12">
        <f t="shared" si="7"/>
        <v>0</v>
      </c>
      <c r="AL14" s="12">
        <f t="shared" si="7"/>
        <v>1086.33582</v>
      </c>
      <c r="AM14" s="12">
        <f t="shared" si="7"/>
        <v>1148.93632</v>
      </c>
      <c r="AN14" s="12">
        <f t="shared" si="7"/>
        <v>1211.6538500000001</v>
      </c>
      <c r="AO14" s="12">
        <f t="shared" si="7"/>
        <v>1353.6650400000001</v>
      </c>
      <c r="AP14" s="12">
        <f t="shared" si="7"/>
        <v>1500.8891999999998</v>
      </c>
      <c r="AQ14" s="12">
        <f t="shared" si="7"/>
        <v>1471.1987999999999</v>
      </c>
      <c r="AR14" s="12">
        <f t="shared" si="7"/>
        <v>1609.6092799999999</v>
      </c>
      <c r="AS14" s="12">
        <f t="shared" si="7"/>
        <v>1675.78126</v>
      </c>
      <c r="AT14" s="12">
        <f t="shared" si="7"/>
        <v>1599.1714936065525</v>
      </c>
      <c r="AU14" s="12">
        <f t="shared" si="7"/>
        <v>1676.6619020547892</v>
      </c>
      <c r="AV14" s="12">
        <f t="shared" si="7"/>
        <v>1836.3066301369854</v>
      </c>
      <c r="AW14" s="12">
        <f t="shared" si="7"/>
        <v>1972.439671232873</v>
      </c>
      <c r="AX14" s="12">
        <f t="shared" si="7"/>
        <v>2165.1087704917977</v>
      </c>
      <c r="AY14" s="12">
        <f t="shared" si="7"/>
        <v>2294.3388493150628</v>
      </c>
      <c r="AZ14" s="12">
        <f t="shared" si="7"/>
        <v>2529.2572602739679</v>
      </c>
      <c r="BA14" s="12">
        <f t="shared" si="7"/>
        <v>2647.5307397260272</v>
      </c>
      <c r="BB14" s="12">
        <f t="shared" si="7"/>
        <v>2648.9134426229493</v>
      </c>
      <c r="BC14" s="12">
        <f t="shared" si="7"/>
        <v>2912.7799999999957</v>
      </c>
      <c r="BD14" s="12">
        <f t="shared" si="7"/>
        <v>3170.6539999999954</v>
      </c>
      <c r="BE14" s="12">
        <f t="shared" si="7"/>
        <v>3261.7395616438343</v>
      </c>
      <c r="BF14" s="12">
        <f t="shared" si="7"/>
        <v>3135.3278688524551</v>
      </c>
      <c r="BG14" s="12">
        <f t="shared" si="7"/>
        <v>3418.314794520541</v>
      </c>
      <c r="BH14" s="12">
        <f t="shared" si="7"/>
        <v>3498.3349328219138</v>
      </c>
      <c r="BI14" s="12">
        <f t="shared" si="7"/>
        <v>3537.4710604109569</v>
      </c>
      <c r="BJ14" s="12">
        <f t="shared" si="7"/>
        <v>3677.8226373497223</v>
      </c>
      <c r="BK14" s="12"/>
    </row>
    <row r="15" spans="1:63">
      <c r="A15" s="2" t="s">
        <v>5</v>
      </c>
      <c r="B15" s="2" t="s">
        <v>7</v>
      </c>
      <c r="C15" s="4"/>
      <c r="D15" s="4"/>
      <c r="E15" s="4"/>
      <c r="F15" s="4"/>
      <c r="G15" s="4"/>
      <c r="H15" s="4"/>
      <c r="I15" s="4"/>
      <c r="J15" s="4"/>
      <c r="K15" s="2">
        <v>2017.8219178082099</v>
      </c>
      <c r="L15" s="2">
        <v>1971.00821917808</v>
      </c>
      <c r="M15" s="2">
        <v>2261.9808219177999</v>
      </c>
      <c r="N15" s="2">
        <v>2414.9863387978098</v>
      </c>
      <c r="O15" s="2">
        <v>2347.88219178082</v>
      </c>
      <c r="P15" s="2">
        <v>2563.0109589040999</v>
      </c>
      <c r="Q15" s="2">
        <v>3477.0246575342399</v>
      </c>
      <c r="R15" s="2">
        <v>2514.2322404371498</v>
      </c>
      <c r="S15" s="2">
        <v>999.90136986301297</v>
      </c>
      <c r="T15" s="2">
        <v>1012.1013698630099</v>
      </c>
      <c r="U15" s="2">
        <v>1005.06849315068</v>
      </c>
      <c r="V15" s="2">
        <v>1181.69398907103</v>
      </c>
      <c r="W15" s="2">
        <v>1433.1506849315001</v>
      </c>
      <c r="X15" s="2">
        <v>1690.0547945205401</v>
      </c>
      <c r="Y15" s="2">
        <v>2078.79452054794</v>
      </c>
      <c r="Z15" s="2">
        <v>2684.9590163934399</v>
      </c>
      <c r="AA15" s="2">
        <v>2897.14794520547</v>
      </c>
      <c r="AB15" s="2">
        <v>2039.8876712328699</v>
      </c>
      <c r="AC15" s="2">
        <v>305.10684931506802</v>
      </c>
      <c r="AD15" s="2">
        <v>426.693989071038</v>
      </c>
      <c r="AE15" s="4">
        <v>478</v>
      </c>
      <c r="AF15" s="4">
        <v>525.97260000000006</v>
      </c>
      <c r="AG15" s="4">
        <v>550</v>
      </c>
      <c r="AH15" s="2">
        <v>576.25683060109202</v>
      </c>
      <c r="AI15" s="2">
        <v>1146.9753424657499</v>
      </c>
      <c r="AJ15" s="2">
        <v>2112.1726027397199</v>
      </c>
      <c r="AK15" s="2">
        <v>2520.80821917808</v>
      </c>
      <c r="AL15" s="2">
        <v>2567.02621584699</v>
      </c>
      <c r="AM15" s="4">
        <v>2356.9470000000001</v>
      </c>
      <c r="AN15" s="2">
        <v>2012.3170356164301</v>
      </c>
      <c r="AO15" s="2">
        <v>1324.9103534246501</v>
      </c>
      <c r="AP15" s="2">
        <v>1994.8442622950799</v>
      </c>
      <c r="AQ15" s="2">
        <v>1816.4657534246501</v>
      </c>
      <c r="AR15" s="2">
        <v>1900.0273972602699</v>
      </c>
      <c r="AS15" s="2">
        <v>2088.9217589041</v>
      </c>
      <c r="AT15" s="2">
        <v>2375.2659890710302</v>
      </c>
      <c r="AU15" s="2">
        <v>2390.5915369863001</v>
      </c>
      <c r="AV15" s="2">
        <v>2399.3025260273898</v>
      </c>
      <c r="AW15" s="2">
        <v>2625.6849315068398</v>
      </c>
      <c r="AX15" s="2">
        <v>2983.3333333333298</v>
      </c>
      <c r="AY15" s="2">
        <v>3055.38356164383</v>
      </c>
      <c r="AZ15" s="2">
        <v>3370.0410958904099</v>
      </c>
      <c r="BA15" s="2">
        <v>4054.7808219178</v>
      </c>
      <c r="BB15" s="2">
        <v>4451.51639344262</v>
      </c>
      <c r="BC15" s="2">
        <v>4465.6849315068403</v>
      </c>
      <c r="BD15" s="2">
        <v>4622.6958904109497</v>
      </c>
      <c r="BE15" s="2">
        <v>4720.3698630136896</v>
      </c>
      <c r="BF15" s="2">
        <v>4112.8087431693903</v>
      </c>
      <c r="BG15" s="2">
        <v>4112.8219178082099</v>
      </c>
      <c r="BH15" s="2">
        <v>4503.5068493150602</v>
      </c>
      <c r="BI15" s="2">
        <v>4389.1643835616396</v>
      </c>
      <c r="BJ15" s="2">
        <v>4458.7049180327804</v>
      </c>
      <c r="BK15" s="2">
        <v>4388.0684931506803</v>
      </c>
    </row>
    <row r="16" spans="1:63" ht="15.75" customHeight="1">
      <c r="A16" s="2" t="s">
        <v>5</v>
      </c>
      <c r="B16" s="6" t="s">
        <v>12</v>
      </c>
      <c r="C16" s="18">
        <v>0.34710000000000002</v>
      </c>
      <c r="D16" s="18">
        <v>0.34710000000000002</v>
      </c>
      <c r="E16" s="18">
        <v>0.34710000000000002</v>
      </c>
      <c r="F16" s="18">
        <v>0.34710000000000002</v>
      </c>
      <c r="G16" s="18">
        <v>0.34710000000000002</v>
      </c>
      <c r="H16" s="18">
        <v>0.34710000000000002</v>
      </c>
      <c r="I16" s="18">
        <v>0.34710000000000002</v>
      </c>
      <c r="J16" s="18">
        <v>0.34710000000000002</v>
      </c>
      <c r="K16" s="18">
        <v>0.34710000000000002</v>
      </c>
      <c r="L16" s="18">
        <v>0.34710000000000002</v>
      </c>
      <c r="M16" s="18">
        <v>0.34710000000000002</v>
      </c>
      <c r="N16" s="18">
        <v>0.34710000000000002</v>
      </c>
      <c r="O16" s="18">
        <v>0.34710000000000002</v>
      </c>
      <c r="P16" s="18">
        <v>0.34710000000000002</v>
      </c>
      <c r="Q16" s="18">
        <v>0.34710000000000002</v>
      </c>
      <c r="R16" s="18">
        <v>0.34710000000000002</v>
      </c>
      <c r="S16" s="18">
        <v>0.34710000000000002</v>
      </c>
      <c r="T16" s="18">
        <v>0.34710000000000002</v>
      </c>
      <c r="U16" s="18">
        <v>0.34710000000000002</v>
      </c>
      <c r="V16" s="18">
        <v>0.34710000000000002</v>
      </c>
      <c r="W16" s="18">
        <v>0.34710000000000002</v>
      </c>
      <c r="X16" s="18">
        <v>0.34710000000000002</v>
      </c>
      <c r="Y16" s="18">
        <v>0.34710000000000002</v>
      </c>
      <c r="Z16" s="18">
        <v>0.34710000000000002</v>
      </c>
      <c r="AA16" s="18">
        <v>0.34710000000000002</v>
      </c>
      <c r="AB16" s="18">
        <v>0.34710000000000002</v>
      </c>
      <c r="AC16" s="18">
        <v>0.34710000000000002</v>
      </c>
      <c r="AD16" s="18">
        <v>0.34710000000000002</v>
      </c>
      <c r="AE16" s="18">
        <v>0.34710000000000002</v>
      </c>
      <c r="AF16" s="18">
        <v>0.34710000000000002</v>
      </c>
      <c r="AG16" s="18">
        <v>0.34710000000000002</v>
      </c>
      <c r="AH16" s="18">
        <v>0.34710000000000002</v>
      </c>
      <c r="AI16" s="18">
        <v>0.34710000000000002</v>
      </c>
      <c r="AJ16" s="18">
        <v>0.34710000000000002</v>
      </c>
      <c r="AK16" s="18">
        <v>0.34710000000000002</v>
      </c>
      <c r="AL16" s="18">
        <v>0.34710000000000002</v>
      </c>
      <c r="AM16" s="18">
        <v>0.34710000000000002</v>
      </c>
      <c r="AN16" s="18">
        <v>0.34710000000000002</v>
      </c>
      <c r="AO16" s="18">
        <v>0.34710000000000002</v>
      </c>
      <c r="AP16" s="18">
        <v>0.34710000000000002</v>
      </c>
      <c r="AQ16" s="18">
        <v>0.34710000000000002</v>
      </c>
      <c r="AR16" s="18">
        <v>0.34710000000000002</v>
      </c>
      <c r="AS16" s="18">
        <v>0.34710000000000002</v>
      </c>
      <c r="AT16" s="18">
        <v>0.34710000000000002</v>
      </c>
      <c r="AU16" s="18">
        <v>0.34710000000000002</v>
      </c>
      <c r="AV16" s="18">
        <v>0.34710000000000002</v>
      </c>
      <c r="AW16" s="18">
        <v>0.34710000000000002</v>
      </c>
      <c r="AX16" s="18">
        <v>0.34710000000000002</v>
      </c>
      <c r="AY16" s="18">
        <v>0.34710000000000002</v>
      </c>
      <c r="AZ16" s="18">
        <v>0.34710000000000002</v>
      </c>
      <c r="BA16" s="18">
        <v>0.34710000000000002</v>
      </c>
      <c r="BB16" s="18">
        <v>0.34710000000000002</v>
      </c>
      <c r="BC16" s="18">
        <v>0.34710000000000002</v>
      </c>
      <c r="BD16" s="18">
        <v>0.34710000000000002</v>
      </c>
      <c r="BE16" s="18">
        <v>0.34710000000000002</v>
      </c>
      <c r="BF16" s="18">
        <v>0.34710000000000002</v>
      </c>
      <c r="BG16" s="18">
        <v>0.34710000000000002</v>
      </c>
      <c r="BH16" s="18">
        <v>0.34710000000000002</v>
      </c>
      <c r="BI16" s="18">
        <v>0.34710000000000002</v>
      </c>
      <c r="BJ16" s="18">
        <v>0.34710000000000002</v>
      </c>
      <c r="BK16" s="18"/>
    </row>
    <row r="17" spans="1:63">
      <c r="A17" s="12" t="s">
        <v>5</v>
      </c>
      <c r="B17" s="12" t="s">
        <v>18</v>
      </c>
      <c r="C17" s="12">
        <f t="shared" ref="C17:BJ17" si="8">C15*C16</f>
        <v>0</v>
      </c>
      <c r="D17" s="12">
        <f t="shared" si="8"/>
        <v>0</v>
      </c>
      <c r="E17" s="12">
        <f t="shared" si="8"/>
        <v>0</v>
      </c>
      <c r="F17" s="12">
        <f t="shared" si="8"/>
        <v>0</v>
      </c>
      <c r="G17" s="12">
        <f t="shared" si="8"/>
        <v>0</v>
      </c>
      <c r="H17" s="12">
        <f t="shared" si="8"/>
        <v>0</v>
      </c>
      <c r="I17" s="12">
        <f t="shared" si="8"/>
        <v>0</v>
      </c>
      <c r="J17" s="12">
        <f t="shared" si="8"/>
        <v>0</v>
      </c>
      <c r="K17" s="12">
        <f t="shared" si="8"/>
        <v>700.38598767122971</v>
      </c>
      <c r="L17" s="12">
        <f t="shared" si="8"/>
        <v>684.13695287671158</v>
      </c>
      <c r="M17" s="12">
        <f t="shared" si="8"/>
        <v>785.13354328766843</v>
      </c>
      <c r="N17" s="12">
        <f t="shared" si="8"/>
        <v>838.24175819671984</v>
      </c>
      <c r="O17" s="12">
        <f t="shared" si="8"/>
        <v>814.94990876712268</v>
      </c>
      <c r="P17" s="12">
        <f t="shared" si="8"/>
        <v>889.6211038356131</v>
      </c>
      <c r="Q17" s="12">
        <f t="shared" si="8"/>
        <v>1206.8752586301348</v>
      </c>
      <c r="R17" s="12">
        <f t="shared" si="8"/>
        <v>872.6900106557348</v>
      </c>
      <c r="S17" s="12">
        <f t="shared" si="8"/>
        <v>347.06576547945184</v>
      </c>
      <c r="T17" s="12">
        <f t="shared" si="8"/>
        <v>351.30038547945077</v>
      </c>
      <c r="U17" s="12">
        <f t="shared" si="8"/>
        <v>348.85927397260104</v>
      </c>
      <c r="V17" s="12">
        <f t="shared" si="8"/>
        <v>410.16598360655456</v>
      </c>
      <c r="W17" s="12">
        <f t="shared" si="8"/>
        <v>497.44660273972374</v>
      </c>
      <c r="X17" s="12">
        <f t="shared" si="8"/>
        <v>586.61801917807952</v>
      </c>
      <c r="Y17" s="12">
        <f t="shared" si="8"/>
        <v>721.54957808219001</v>
      </c>
      <c r="Z17" s="12">
        <f t="shared" si="8"/>
        <v>931.9492745901631</v>
      </c>
      <c r="AA17" s="12">
        <f t="shared" si="8"/>
        <v>1005.6000517808187</v>
      </c>
      <c r="AB17" s="12">
        <f t="shared" si="8"/>
        <v>708.04501068492914</v>
      </c>
      <c r="AC17" s="12">
        <f t="shared" si="8"/>
        <v>105.90258739726012</v>
      </c>
      <c r="AD17" s="12">
        <f t="shared" si="8"/>
        <v>148.1054836065573</v>
      </c>
      <c r="AE17" s="12">
        <f t="shared" si="8"/>
        <v>165.91380000000001</v>
      </c>
      <c r="AF17" s="12">
        <f t="shared" si="8"/>
        <v>182.56508946000002</v>
      </c>
      <c r="AG17" s="12">
        <f t="shared" si="8"/>
        <v>190.905</v>
      </c>
      <c r="AH17" s="12">
        <f t="shared" si="8"/>
        <v>200.01874590163905</v>
      </c>
      <c r="AI17" s="12">
        <f t="shared" si="8"/>
        <v>398.11514136986182</v>
      </c>
      <c r="AJ17" s="12">
        <f t="shared" si="8"/>
        <v>733.13511041095683</v>
      </c>
      <c r="AK17" s="12">
        <f t="shared" si="8"/>
        <v>874.97253287671163</v>
      </c>
      <c r="AL17" s="12">
        <f t="shared" si="8"/>
        <v>891.01479952049033</v>
      </c>
      <c r="AM17" s="12">
        <f t="shared" si="8"/>
        <v>818.09630370000013</v>
      </c>
      <c r="AN17" s="12">
        <f t="shared" si="8"/>
        <v>698.47524306246294</v>
      </c>
      <c r="AO17" s="12">
        <f t="shared" si="8"/>
        <v>459.87638367369607</v>
      </c>
      <c r="AP17" s="12">
        <f t="shared" si="8"/>
        <v>692.4104434426223</v>
      </c>
      <c r="AQ17" s="12">
        <f t="shared" si="8"/>
        <v>630.4952630136961</v>
      </c>
      <c r="AR17" s="12">
        <f t="shared" si="8"/>
        <v>659.49950958903969</v>
      </c>
      <c r="AS17" s="12">
        <f t="shared" si="8"/>
        <v>725.06474251561315</v>
      </c>
      <c r="AT17" s="12">
        <f t="shared" si="8"/>
        <v>824.4548248065546</v>
      </c>
      <c r="AU17" s="12">
        <f t="shared" si="8"/>
        <v>829.7743224879448</v>
      </c>
      <c r="AV17" s="12">
        <f t="shared" si="8"/>
        <v>832.79790678410711</v>
      </c>
      <c r="AW17" s="12">
        <f t="shared" si="8"/>
        <v>911.37523972602412</v>
      </c>
      <c r="AX17" s="12">
        <f t="shared" si="8"/>
        <v>1035.5149999999987</v>
      </c>
      <c r="AY17" s="12">
        <f t="shared" si="8"/>
        <v>1060.5236342465735</v>
      </c>
      <c r="AZ17" s="12">
        <f t="shared" si="8"/>
        <v>1169.7412643835614</v>
      </c>
      <c r="BA17" s="12">
        <f t="shared" si="8"/>
        <v>1407.4144232876686</v>
      </c>
      <c r="BB17" s="12">
        <f t="shared" si="8"/>
        <v>1545.1213401639336</v>
      </c>
      <c r="BC17" s="12">
        <f t="shared" si="8"/>
        <v>1550.0392397260243</v>
      </c>
      <c r="BD17" s="12">
        <f t="shared" si="8"/>
        <v>1604.5377435616408</v>
      </c>
      <c r="BE17" s="12">
        <f t="shared" si="8"/>
        <v>1638.4403794520517</v>
      </c>
      <c r="BF17" s="12">
        <f t="shared" si="8"/>
        <v>1427.5559147540955</v>
      </c>
      <c r="BG17" s="12">
        <f t="shared" si="8"/>
        <v>1427.5604876712298</v>
      </c>
      <c r="BH17" s="12">
        <f t="shared" si="8"/>
        <v>1563.1672273972574</v>
      </c>
      <c r="BI17" s="12">
        <f t="shared" si="8"/>
        <v>1523.4789575342452</v>
      </c>
      <c r="BJ17" s="12">
        <f t="shared" si="8"/>
        <v>1547.6164770491782</v>
      </c>
      <c r="BK17" s="12"/>
    </row>
    <row r="18" spans="1:63">
      <c r="A18" s="11" t="s">
        <v>5</v>
      </c>
      <c r="B18" s="11" t="s">
        <v>20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1</v>
      </c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0</v>
      </c>
      <c r="AB18" s="11">
        <v>1</v>
      </c>
      <c r="AC18" s="11">
        <v>1</v>
      </c>
      <c r="AD18" s="11">
        <v>1</v>
      </c>
      <c r="AE18" s="11">
        <v>1</v>
      </c>
      <c r="AF18" s="11">
        <v>1</v>
      </c>
      <c r="AG18" s="11">
        <v>1</v>
      </c>
      <c r="AH18" s="11">
        <v>1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1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2"/>
    </row>
    <row r="19" spans="1:63">
      <c r="A19" s="2" t="s">
        <v>3</v>
      </c>
      <c r="B19" s="2" t="s">
        <v>7</v>
      </c>
      <c r="C19" s="4"/>
      <c r="D19" s="4"/>
      <c r="E19" s="4"/>
      <c r="F19" s="4"/>
      <c r="G19" s="4"/>
      <c r="H19" s="4"/>
      <c r="I19" s="4"/>
      <c r="J19" s="4"/>
      <c r="K19" s="2">
        <v>1089.8794520547899</v>
      </c>
      <c r="L19" s="2">
        <v>1315.13150684931</v>
      </c>
      <c r="M19" s="2">
        <v>1490.01369863013</v>
      </c>
      <c r="N19" s="2">
        <v>1669.7513661202099</v>
      </c>
      <c r="O19" s="2">
        <v>1873.94246575342</v>
      </c>
      <c r="P19" s="2">
        <v>2082.0986301369799</v>
      </c>
      <c r="Q19" s="4">
        <v>2122.0630000000001</v>
      </c>
      <c r="R19" s="2">
        <v>2113.8524590163902</v>
      </c>
      <c r="S19" s="2">
        <v>2012.4383561643799</v>
      </c>
      <c r="T19" s="4">
        <v>2045</v>
      </c>
      <c r="U19" s="2">
        <v>2119.60273972602</v>
      </c>
      <c r="V19" s="4">
        <v>2292</v>
      </c>
      <c r="W19" s="2">
        <v>2505.1643835616401</v>
      </c>
      <c r="X19" s="2">
        <v>2620.2876712328698</v>
      </c>
      <c r="Y19" s="4">
        <v>2690</v>
      </c>
      <c r="Z19" s="2">
        <v>2730.3196721311401</v>
      </c>
      <c r="AA19" s="2">
        <v>2756.7917808219099</v>
      </c>
      <c r="AB19" s="2">
        <v>2773.9315068493102</v>
      </c>
      <c r="AC19" s="2">
        <v>2835.3287671232802</v>
      </c>
      <c r="AD19" s="2">
        <v>2837.92349726775</v>
      </c>
      <c r="AE19" s="2">
        <v>2912.1452054794499</v>
      </c>
      <c r="AF19" s="2">
        <v>2921.8257369862999</v>
      </c>
      <c r="AG19" s="2">
        <v>3000.4984767123201</v>
      </c>
      <c r="AH19" s="2">
        <v>3138.09078688524</v>
      </c>
      <c r="AI19" s="2">
        <v>3214.4561315068399</v>
      </c>
      <c r="AJ19" s="2">
        <v>3224.4758684931498</v>
      </c>
      <c r="AK19" s="2">
        <v>3203.40420547945</v>
      </c>
      <c r="AL19" s="2">
        <v>3258.8398442622902</v>
      </c>
      <c r="AM19" s="2">
        <v>3287.67196438356</v>
      </c>
      <c r="AN19" s="2">
        <v>3348.50946301369</v>
      </c>
      <c r="AO19" s="2">
        <v>3356.7054356164299</v>
      </c>
      <c r="AP19" s="2">
        <v>3473.9919617486298</v>
      </c>
      <c r="AQ19" s="2">
        <v>3593.63828767123</v>
      </c>
      <c r="AR19" s="2">
        <v>3622.4102383561599</v>
      </c>
      <c r="AS19" s="2">
        <v>3681.9789506849302</v>
      </c>
      <c r="AT19" s="2">
        <v>3790.1819672131101</v>
      </c>
      <c r="AU19" s="2">
        <v>3795.95863013698</v>
      </c>
      <c r="AV19" s="2">
        <v>4078.3602739726002</v>
      </c>
      <c r="AW19" s="2">
        <v>4052.0556164383502</v>
      </c>
      <c r="AX19" s="2">
        <v>4074.0743169398902</v>
      </c>
      <c r="AY19" s="2">
        <v>4163.8167123287603</v>
      </c>
      <c r="AZ19" s="2">
        <v>4208.2547945205397</v>
      </c>
      <c r="BA19" s="2">
        <v>4277.6931506849296</v>
      </c>
      <c r="BB19" s="4">
        <v>3983.4810000000002</v>
      </c>
      <c r="BC19" s="2">
        <v>3771.9068339519999</v>
      </c>
      <c r="BD19" s="2">
        <v>3740.2621220352298</v>
      </c>
      <c r="BE19" s="2">
        <v>3787.14472298501</v>
      </c>
      <c r="BF19" s="2">
        <v>3854.6491494230199</v>
      </c>
      <c r="BG19" s="2">
        <v>3959.08232732958</v>
      </c>
      <c r="BH19" s="2">
        <v>4089.1079047849898</v>
      </c>
      <c r="BI19" s="2">
        <v>4182.6378728438804</v>
      </c>
      <c r="BJ19" s="2">
        <v>4234.0273224043704</v>
      </c>
      <c r="BK19" s="2">
        <v>4324.6849315068403</v>
      </c>
    </row>
    <row r="20" spans="1:63">
      <c r="A20" s="2" t="s">
        <v>3</v>
      </c>
      <c r="B20" s="6" t="s">
        <v>12</v>
      </c>
      <c r="C20" s="6">
        <v>7.0000000000000007E-2</v>
      </c>
      <c r="D20" s="6">
        <v>7.0000000000000007E-2</v>
      </c>
      <c r="E20" s="6">
        <v>7.0000000000000007E-2</v>
      </c>
      <c r="F20" s="6">
        <v>7.0000000000000007E-2</v>
      </c>
      <c r="G20" s="6">
        <v>7.0000000000000007E-2</v>
      </c>
      <c r="H20" s="6">
        <v>7.0000000000000007E-2</v>
      </c>
      <c r="I20" s="6">
        <v>7.0000000000000007E-2</v>
      </c>
      <c r="J20" s="6">
        <v>7.0000000000000007E-2</v>
      </c>
      <c r="K20" s="6">
        <v>7.0000000000000007E-2</v>
      </c>
      <c r="L20" s="6">
        <v>7.0000000000000007E-2</v>
      </c>
      <c r="M20" s="6">
        <v>7.0000000000000007E-2</v>
      </c>
      <c r="N20" s="6">
        <v>7.0000000000000007E-2</v>
      </c>
      <c r="O20" s="6">
        <v>7.0000000000000007E-2</v>
      </c>
      <c r="P20" s="6">
        <v>7.0000000000000007E-2</v>
      </c>
      <c r="Q20" s="6">
        <v>7.0000000000000007E-2</v>
      </c>
      <c r="R20" s="6">
        <v>7.0000000000000007E-2</v>
      </c>
      <c r="S20" s="6">
        <v>7.0000000000000007E-2</v>
      </c>
      <c r="T20" s="6">
        <v>7.0000000000000007E-2</v>
      </c>
      <c r="U20" s="6">
        <v>7.0000000000000007E-2</v>
      </c>
      <c r="V20" s="6">
        <v>7.0000000000000007E-2</v>
      </c>
      <c r="W20" s="6">
        <v>7.0000000000000007E-2</v>
      </c>
      <c r="X20" s="6">
        <v>7.0000000000000007E-2</v>
      </c>
      <c r="Y20" s="6">
        <v>7.0000000000000007E-2</v>
      </c>
      <c r="Z20" s="6">
        <v>7.0000000000000007E-2</v>
      </c>
      <c r="AA20" s="6">
        <v>7.0000000000000007E-2</v>
      </c>
      <c r="AB20" s="6">
        <v>7.0000000000000007E-2</v>
      </c>
      <c r="AC20" s="6">
        <v>7.0000000000000007E-2</v>
      </c>
      <c r="AD20" s="6">
        <v>7.0000000000000007E-2</v>
      </c>
      <c r="AE20" s="6">
        <v>7.0000000000000007E-2</v>
      </c>
      <c r="AF20" s="6">
        <v>7.0000000000000007E-2</v>
      </c>
      <c r="AG20" s="6">
        <v>7.0000000000000007E-2</v>
      </c>
      <c r="AH20" s="6">
        <v>7.0000000000000007E-2</v>
      </c>
      <c r="AI20" s="6">
        <v>7.0000000000000007E-2</v>
      </c>
      <c r="AJ20" s="6">
        <v>7.0000000000000007E-2</v>
      </c>
      <c r="AK20" s="6">
        <v>7.0000000000000007E-2</v>
      </c>
      <c r="AL20" s="6">
        <v>7.0000000000000007E-2</v>
      </c>
      <c r="AM20" s="6">
        <v>7.0000000000000007E-2</v>
      </c>
      <c r="AN20" s="6">
        <v>7.0000000000000007E-2</v>
      </c>
      <c r="AO20" s="6">
        <v>7.0000000000000007E-2</v>
      </c>
      <c r="AP20" s="6">
        <v>7.0000000000000007E-2</v>
      </c>
      <c r="AQ20" s="6">
        <v>7.0000000000000007E-2</v>
      </c>
      <c r="AR20" s="6">
        <v>7.0000000000000007E-2</v>
      </c>
      <c r="AS20" s="6">
        <v>7.0000000000000007E-2</v>
      </c>
      <c r="AT20" s="6">
        <v>7.0000000000000007E-2</v>
      </c>
      <c r="AU20" s="6">
        <v>7.0000000000000007E-2</v>
      </c>
      <c r="AV20" s="6">
        <v>7.0000000000000007E-2</v>
      </c>
      <c r="AW20" s="6">
        <v>7.0000000000000007E-2</v>
      </c>
      <c r="AX20" s="6">
        <v>7.0000000000000007E-2</v>
      </c>
      <c r="AY20" s="6">
        <v>7.0000000000000007E-2</v>
      </c>
      <c r="AZ20" s="6">
        <v>7.0000000000000007E-2</v>
      </c>
      <c r="BA20" s="6">
        <v>7.0000000000000007E-2</v>
      </c>
      <c r="BB20" s="6">
        <v>7.0000000000000007E-2</v>
      </c>
      <c r="BC20" s="6">
        <v>7.0000000000000007E-2</v>
      </c>
      <c r="BD20" s="6">
        <v>7.0000000000000007E-2</v>
      </c>
      <c r="BE20" s="6">
        <v>7.0000000000000007E-2</v>
      </c>
      <c r="BF20" s="6">
        <v>7.0000000000000007E-2</v>
      </c>
      <c r="BG20" s="6">
        <v>7.0000000000000007E-2</v>
      </c>
      <c r="BH20" s="6">
        <v>7.0000000000000007E-2</v>
      </c>
      <c r="BI20" s="6">
        <v>7.0000000000000007E-2</v>
      </c>
      <c r="BJ20" s="6">
        <v>7.0000000000000007E-2</v>
      </c>
      <c r="BK20" s="6"/>
    </row>
    <row r="21" spans="1:63">
      <c r="A21" s="12" t="s">
        <v>3</v>
      </c>
      <c r="B21" s="12" t="s">
        <v>18</v>
      </c>
      <c r="C21" s="12">
        <f t="shared" ref="C21:BJ21" si="9">C19*C20</f>
        <v>0</v>
      </c>
      <c r="D21" s="12">
        <f t="shared" si="9"/>
        <v>0</v>
      </c>
      <c r="E21" s="12">
        <f t="shared" si="9"/>
        <v>0</v>
      </c>
      <c r="F21" s="12">
        <f t="shared" si="9"/>
        <v>0</v>
      </c>
      <c r="G21" s="12">
        <f t="shared" si="9"/>
        <v>0</v>
      </c>
      <c r="H21" s="12">
        <f t="shared" si="9"/>
        <v>0</v>
      </c>
      <c r="I21" s="12">
        <f t="shared" si="9"/>
        <v>0</v>
      </c>
      <c r="J21" s="12">
        <f t="shared" si="9"/>
        <v>0</v>
      </c>
      <c r="K21" s="12">
        <f t="shared" si="9"/>
        <v>76.291561643835294</v>
      </c>
      <c r="L21" s="12">
        <f t="shared" si="9"/>
        <v>92.059205479451705</v>
      </c>
      <c r="M21" s="12">
        <f t="shared" si="9"/>
        <v>104.30095890410911</v>
      </c>
      <c r="N21" s="12">
        <f t="shared" si="9"/>
        <v>116.88259562841471</v>
      </c>
      <c r="O21" s="12">
        <f t="shared" si="9"/>
        <v>131.17597260273942</v>
      </c>
      <c r="P21" s="12">
        <f t="shared" si="9"/>
        <v>145.7469041095886</v>
      </c>
      <c r="Q21" s="12">
        <f t="shared" si="9"/>
        <v>148.54441000000003</v>
      </c>
      <c r="R21" s="12">
        <f t="shared" si="9"/>
        <v>147.96967213114732</v>
      </c>
      <c r="S21" s="12">
        <f t="shared" si="9"/>
        <v>140.87068493150662</v>
      </c>
      <c r="T21" s="12">
        <f t="shared" si="9"/>
        <v>143.15</v>
      </c>
      <c r="U21" s="12">
        <f t="shared" si="9"/>
        <v>148.37219178082142</v>
      </c>
      <c r="V21" s="12">
        <f t="shared" si="9"/>
        <v>160.44000000000003</v>
      </c>
      <c r="W21" s="12">
        <f t="shared" si="9"/>
        <v>175.36150684931482</v>
      </c>
      <c r="X21" s="12">
        <f t="shared" si="9"/>
        <v>183.42013698630089</v>
      </c>
      <c r="Y21" s="12">
        <f t="shared" si="9"/>
        <v>188.3</v>
      </c>
      <c r="Z21" s="12">
        <f t="shared" si="9"/>
        <v>191.12237704917982</v>
      </c>
      <c r="AA21" s="12">
        <f t="shared" si="9"/>
        <v>192.97542465753372</v>
      </c>
      <c r="AB21" s="12">
        <f t="shared" si="9"/>
        <v>194.17520547945173</v>
      </c>
      <c r="AC21" s="12">
        <f t="shared" si="9"/>
        <v>198.47301369862964</v>
      </c>
      <c r="AD21" s="12">
        <f t="shared" si="9"/>
        <v>198.65464480874252</v>
      </c>
      <c r="AE21" s="12">
        <f t="shared" si="9"/>
        <v>203.85016438356152</v>
      </c>
      <c r="AF21" s="12">
        <f t="shared" si="9"/>
        <v>204.52780158904102</v>
      </c>
      <c r="AG21" s="12">
        <f t="shared" si="9"/>
        <v>210.03489336986243</v>
      </c>
      <c r="AH21" s="12">
        <f t="shared" si="9"/>
        <v>219.66635508196683</v>
      </c>
      <c r="AI21" s="12">
        <f t="shared" si="9"/>
        <v>225.01192920547882</v>
      </c>
      <c r="AJ21" s="12">
        <f t="shared" si="9"/>
        <v>225.71331079452051</v>
      </c>
      <c r="AK21" s="12">
        <f t="shared" si="9"/>
        <v>224.23829438356151</v>
      </c>
      <c r="AL21" s="12">
        <f t="shared" si="9"/>
        <v>228.11878909836034</v>
      </c>
      <c r="AM21" s="12">
        <f t="shared" si="9"/>
        <v>230.13703750684923</v>
      </c>
      <c r="AN21" s="12">
        <f t="shared" si="9"/>
        <v>234.39566241095832</v>
      </c>
      <c r="AO21" s="12">
        <f t="shared" si="9"/>
        <v>234.96938049315011</v>
      </c>
      <c r="AP21" s="12">
        <f t="shared" si="9"/>
        <v>243.17943732240411</v>
      </c>
      <c r="AQ21" s="12">
        <f t="shared" si="9"/>
        <v>251.55468013698612</v>
      </c>
      <c r="AR21" s="12">
        <f t="shared" si="9"/>
        <v>253.56871668493122</v>
      </c>
      <c r="AS21" s="12">
        <f t="shared" si="9"/>
        <v>257.73852654794513</v>
      </c>
      <c r="AT21" s="12">
        <f t="shared" si="9"/>
        <v>265.31273770491771</v>
      </c>
      <c r="AU21" s="12">
        <f t="shared" si="9"/>
        <v>265.7171041095886</v>
      </c>
      <c r="AV21" s="12">
        <f t="shared" si="9"/>
        <v>285.48521917808205</v>
      </c>
      <c r="AW21" s="12">
        <f t="shared" si="9"/>
        <v>283.64389315068456</v>
      </c>
      <c r="AX21" s="12">
        <f t="shared" si="9"/>
        <v>285.18520218579232</v>
      </c>
      <c r="AY21" s="12">
        <f t="shared" si="9"/>
        <v>291.46716986301323</v>
      </c>
      <c r="AZ21" s="12">
        <f t="shared" si="9"/>
        <v>294.57783561643782</v>
      </c>
      <c r="BA21" s="12">
        <f t="shared" si="9"/>
        <v>299.43852054794507</v>
      </c>
      <c r="BB21" s="12">
        <f t="shared" si="9"/>
        <v>278.84367000000003</v>
      </c>
      <c r="BC21" s="12">
        <f t="shared" si="9"/>
        <v>264.03347837664001</v>
      </c>
      <c r="BD21" s="12">
        <f t="shared" si="9"/>
        <v>261.81834854246614</v>
      </c>
      <c r="BE21" s="12">
        <f t="shared" si="9"/>
        <v>265.10013060895074</v>
      </c>
      <c r="BF21" s="12">
        <f t="shared" si="9"/>
        <v>269.8254404596114</v>
      </c>
      <c r="BG21" s="12">
        <f t="shared" si="9"/>
        <v>277.13576291307061</v>
      </c>
      <c r="BH21" s="12">
        <f t="shared" si="9"/>
        <v>286.23755333494933</v>
      </c>
      <c r="BI21" s="12">
        <f t="shared" si="9"/>
        <v>292.78465109907165</v>
      </c>
      <c r="BJ21" s="12">
        <f t="shared" si="9"/>
        <v>296.38191256830595</v>
      </c>
      <c r="BK21" s="12"/>
    </row>
    <row r="22" spans="1:63">
      <c r="A22" s="2" t="s">
        <v>4</v>
      </c>
      <c r="B22" s="2" t="s">
        <v>7</v>
      </c>
      <c r="C22" s="4"/>
      <c r="D22" s="4"/>
      <c r="E22" s="4"/>
      <c r="F22" s="4"/>
      <c r="G22" s="4"/>
      <c r="H22" s="4"/>
      <c r="I22" s="4"/>
      <c r="J22" s="4"/>
      <c r="K22" s="2">
        <v>5861.4328767123197</v>
      </c>
      <c r="L22" s="2">
        <v>6021.8794520547899</v>
      </c>
      <c r="M22" s="2">
        <v>5349.8904109589002</v>
      </c>
      <c r="N22" s="2">
        <v>5883.0655737704901</v>
      </c>
      <c r="O22" s="2">
        <v>5662.9041095890398</v>
      </c>
      <c r="P22" s="2">
        <v>5241.88219178082</v>
      </c>
      <c r="Q22" s="2">
        <v>3168.0684931506798</v>
      </c>
      <c r="R22" s="2">
        <v>1661.9672131147499</v>
      </c>
      <c r="S22" s="2">
        <v>1379.95616438356</v>
      </c>
      <c r="T22" s="2">
        <v>2213.83835616438</v>
      </c>
      <c r="U22" s="2">
        <v>2439.7561643835602</v>
      </c>
      <c r="V22" s="2">
        <v>2173.2240437158398</v>
      </c>
      <c r="W22" s="2">
        <v>2250.4739726027301</v>
      </c>
      <c r="X22" s="2">
        <v>2034.98630136986</v>
      </c>
      <c r="Y22" s="2">
        <v>2298.05753424657</v>
      </c>
      <c r="Z22" s="2">
        <v>2240.0300546448002</v>
      </c>
      <c r="AA22" s="2">
        <v>2809.8739726027302</v>
      </c>
      <c r="AB22" s="2">
        <v>3087.80821917808</v>
      </c>
      <c r="AC22" s="2">
        <v>3311.9726027397201</v>
      </c>
      <c r="AD22" s="2">
        <v>3430.4098360655698</v>
      </c>
      <c r="AE22" s="2">
        <v>3648.7671232876701</v>
      </c>
      <c r="AF22" s="2">
        <v>3607.2876712328698</v>
      </c>
      <c r="AG22" s="2">
        <v>3651.7123287671202</v>
      </c>
      <c r="AH22" s="2">
        <v>3667.9644808743101</v>
      </c>
      <c r="AI22" s="2">
        <v>3599.48493150684</v>
      </c>
      <c r="AJ22" s="2">
        <v>3630.0109589040999</v>
      </c>
      <c r="AK22" s="2">
        <v>3497.1506849315001</v>
      </c>
      <c r="AL22" s="2">
        <v>3684.6994535519102</v>
      </c>
      <c r="AM22" s="2">
        <v>3695.01369863013</v>
      </c>
      <c r="AN22" s="2">
        <v>3395.1643835616401</v>
      </c>
      <c r="AO22" s="2">
        <v>3861.9589041095801</v>
      </c>
      <c r="AP22" s="2">
        <v>4063.1256284153001</v>
      </c>
      <c r="AQ22" s="2">
        <v>4068.21917808219</v>
      </c>
      <c r="AR22" s="2">
        <v>4116.3123287671197</v>
      </c>
      <c r="AS22" s="2">
        <v>4211.9315068493097</v>
      </c>
      <c r="AT22" s="2">
        <v>4050.2732240437099</v>
      </c>
      <c r="AU22" s="2">
        <v>4037.0383479451998</v>
      </c>
      <c r="AV22" s="2">
        <v>4080.4189506849302</v>
      </c>
      <c r="AW22" s="4">
        <v>4054</v>
      </c>
      <c r="AX22" s="2">
        <v>3386.8497267759499</v>
      </c>
      <c r="AY22" s="2">
        <v>3113.2986301369801</v>
      </c>
      <c r="AZ22" s="2">
        <v>3239.0684931506798</v>
      </c>
      <c r="BA22" s="2">
        <v>3293.1890410958899</v>
      </c>
      <c r="BB22" s="2">
        <v>4151.1666666666597</v>
      </c>
      <c r="BC22" s="2">
        <v>4452.5616438356101</v>
      </c>
      <c r="BD22" s="2">
        <v>4212.4164383561601</v>
      </c>
      <c r="BE22" s="2">
        <v>2933.3013698630102</v>
      </c>
      <c r="BF22" s="2">
        <v>2512.99180327868</v>
      </c>
      <c r="BG22" s="2">
        <v>2952.4657534246498</v>
      </c>
      <c r="BH22" s="2">
        <v>3136.5342465753401</v>
      </c>
      <c r="BI22" s="2">
        <v>3524.80821917808</v>
      </c>
      <c r="BJ22" s="2">
        <v>3976.52459016393</v>
      </c>
      <c r="BK22" s="2">
        <v>4051.4246575342399</v>
      </c>
    </row>
    <row r="23" spans="1:63" ht="15.75" customHeight="1">
      <c r="A23" s="2" t="s">
        <v>4</v>
      </c>
      <c r="B23" s="6" t="s">
        <v>12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19">
        <v>4.4356E-2</v>
      </c>
      <c r="AQ23" s="19">
        <v>4.5804999999999998E-2</v>
      </c>
      <c r="AR23" s="7">
        <f>AVERAGE(AQ23,AS23)</f>
        <v>6.8107125250000011E-2</v>
      </c>
      <c r="AS23" s="7">
        <f>(AQ23+AV23)/2</f>
        <v>9.040925050000001E-2</v>
      </c>
      <c r="AT23" s="7">
        <f>(AQ23+AV23)/2</f>
        <v>9.040925050000001E-2</v>
      </c>
      <c r="AU23" s="7">
        <f>AVERAGE(AT23,AV23)</f>
        <v>0.11271137575000001</v>
      </c>
      <c r="AV23" s="19">
        <v>0.13501350100000001</v>
      </c>
      <c r="AW23" s="7">
        <f>AVERAGE(AV23,AX23)</f>
        <v>0.13274627175000001</v>
      </c>
      <c r="AX23" s="7">
        <f>AVERAGE(AV23,BA23)</f>
        <v>0.1304790425</v>
      </c>
      <c r="AY23" s="7">
        <f>AVERAGE(AV23,BA23)</f>
        <v>0.1304790425</v>
      </c>
      <c r="AZ23" s="7">
        <f>AVERAGE(AY23,BA23)</f>
        <v>0.12821181325</v>
      </c>
      <c r="BA23" s="19">
        <v>0.125944584</v>
      </c>
      <c r="BB23" s="19">
        <v>0.125944584</v>
      </c>
      <c r="BC23" s="19">
        <v>0.125944584</v>
      </c>
      <c r="BD23" s="19">
        <v>0.125944584</v>
      </c>
      <c r="BE23" s="19">
        <v>0.125944584</v>
      </c>
      <c r="BF23" s="19">
        <v>0.125944584</v>
      </c>
      <c r="BG23" s="19">
        <v>0.125944584</v>
      </c>
      <c r="BH23" s="19">
        <v>0.125944584</v>
      </c>
      <c r="BI23" s="19">
        <v>0.125944584</v>
      </c>
      <c r="BJ23" s="19">
        <v>0.125944584</v>
      </c>
      <c r="BK23" s="19"/>
    </row>
    <row r="24" spans="1:63">
      <c r="A24" s="12" t="s">
        <v>4</v>
      </c>
      <c r="B24" s="12" t="s">
        <v>18</v>
      </c>
      <c r="C24" s="12">
        <f t="shared" ref="C24:BJ24" si="10">C22*C23</f>
        <v>0</v>
      </c>
      <c r="D24" s="12">
        <f t="shared" si="10"/>
        <v>0</v>
      </c>
      <c r="E24" s="12">
        <f t="shared" si="10"/>
        <v>0</v>
      </c>
      <c r="F24" s="12">
        <f t="shared" si="10"/>
        <v>0</v>
      </c>
      <c r="G24" s="12">
        <f t="shared" si="10"/>
        <v>0</v>
      </c>
      <c r="H24" s="12">
        <f t="shared" si="10"/>
        <v>0</v>
      </c>
      <c r="I24" s="12">
        <f t="shared" si="10"/>
        <v>0</v>
      </c>
      <c r="J24" s="12">
        <f t="shared" si="10"/>
        <v>0</v>
      </c>
      <c r="K24" s="12">
        <f t="shared" si="10"/>
        <v>0</v>
      </c>
      <c r="L24" s="12">
        <f t="shared" si="10"/>
        <v>0</v>
      </c>
      <c r="M24" s="12">
        <f t="shared" si="10"/>
        <v>0</v>
      </c>
      <c r="N24" s="12">
        <f t="shared" si="10"/>
        <v>0</v>
      </c>
      <c r="O24" s="12">
        <f t="shared" si="10"/>
        <v>0</v>
      </c>
      <c r="P24" s="12">
        <f t="shared" si="10"/>
        <v>0</v>
      </c>
      <c r="Q24" s="12">
        <f t="shared" si="10"/>
        <v>0</v>
      </c>
      <c r="R24" s="12">
        <f t="shared" si="10"/>
        <v>0</v>
      </c>
      <c r="S24" s="12">
        <f t="shared" si="10"/>
        <v>0</v>
      </c>
      <c r="T24" s="12">
        <f t="shared" si="10"/>
        <v>0</v>
      </c>
      <c r="U24" s="12">
        <f t="shared" si="10"/>
        <v>0</v>
      </c>
      <c r="V24" s="12">
        <f t="shared" si="10"/>
        <v>0</v>
      </c>
      <c r="W24" s="12">
        <f t="shared" si="10"/>
        <v>0</v>
      </c>
      <c r="X24" s="12">
        <f t="shared" si="10"/>
        <v>0</v>
      </c>
      <c r="Y24" s="12">
        <f t="shared" si="10"/>
        <v>0</v>
      </c>
      <c r="Z24" s="12">
        <f t="shared" si="10"/>
        <v>0</v>
      </c>
      <c r="AA24" s="12">
        <f t="shared" si="10"/>
        <v>0</v>
      </c>
      <c r="AB24" s="12">
        <f t="shared" si="10"/>
        <v>0</v>
      </c>
      <c r="AC24" s="12">
        <f t="shared" si="10"/>
        <v>0</v>
      </c>
      <c r="AD24" s="12">
        <f t="shared" si="10"/>
        <v>0</v>
      </c>
      <c r="AE24" s="12">
        <f t="shared" si="10"/>
        <v>0</v>
      </c>
      <c r="AF24" s="12">
        <f t="shared" si="10"/>
        <v>0</v>
      </c>
      <c r="AG24" s="12">
        <f t="shared" si="10"/>
        <v>0</v>
      </c>
      <c r="AH24" s="12">
        <f t="shared" si="10"/>
        <v>0</v>
      </c>
      <c r="AI24" s="12">
        <f t="shared" si="10"/>
        <v>0</v>
      </c>
      <c r="AJ24" s="12">
        <f t="shared" si="10"/>
        <v>0</v>
      </c>
      <c r="AK24" s="12">
        <f t="shared" si="10"/>
        <v>0</v>
      </c>
      <c r="AL24" s="12">
        <f t="shared" si="10"/>
        <v>0</v>
      </c>
      <c r="AM24" s="12">
        <f t="shared" si="10"/>
        <v>0</v>
      </c>
      <c r="AN24" s="12">
        <f t="shared" si="10"/>
        <v>0</v>
      </c>
      <c r="AO24" s="12">
        <f t="shared" si="10"/>
        <v>0</v>
      </c>
      <c r="AP24" s="12">
        <f t="shared" si="10"/>
        <v>180.22400037398904</v>
      </c>
      <c r="AQ24" s="12">
        <f t="shared" si="10"/>
        <v>186.34477945205469</v>
      </c>
      <c r="AR24" s="12">
        <f t="shared" si="10"/>
        <v>280.35019934346144</v>
      </c>
      <c r="AS24" s="12">
        <f t="shared" si="10"/>
        <v>380.79757069158177</v>
      </c>
      <c r="AT24" s="12">
        <f t="shared" si="10"/>
        <v>366.18216650601045</v>
      </c>
      <c r="AU24" s="12">
        <f t="shared" si="10"/>
        <v>455.02014615241069</v>
      </c>
      <c r="AV24" s="12">
        <f t="shared" si="10"/>
        <v>550.91164807871883</v>
      </c>
      <c r="AW24" s="12">
        <f t="shared" si="10"/>
        <v>538.15338567449999</v>
      </c>
      <c r="AX24" s="12">
        <f t="shared" si="10"/>
        <v>441.91290944111256</v>
      </c>
      <c r="AY24" s="12">
        <f t="shared" si="10"/>
        <v>406.22022427683481</v>
      </c>
      <c r="AZ24" s="12">
        <f t="shared" si="10"/>
        <v>415.28684474779385</v>
      </c>
      <c r="BA24" s="12">
        <f t="shared" si="10"/>
        <v>414.75932381418073</v>
      </c>
      <c r="BB24" s="12">
        <f t="shared" si="10"/>
        <v>522.81695894799907</v>
      </c>
      <c r="BC24" s="12">
        <f t="shared" si="10"/>
        <v>560.77602396723205</v>
      </c>
      <c r="BD24" s="12">
        <f t="shared" si="10"/>
        <v>530.53103596352821</v>
      </c>
      <c r="BE24" s="12">
        <f t="shared" si="10"/>
        <v>369.43342077402696</v>
      </c>
      <c r="BF24" s="12">
        <f t="shared" si="10"/>
        <v>316.4977072593432</v>
      </c>
      <c r="BG24" s="12">
        <f t="shared" si="10"/>
        <v>371.84707108931411</v>
      </c>
      <c r="BH24" s="12">
        <f t="shared" si="10"/>
        <v>395.02950088668462</v>
      </c>
      <c r="BI24" s="12">
        <f t="shared" si="10"/>
        <v>443.93050484416409</v>
      </c>
      <c r="BJ24" s="12">
        <f t="shared" si="10"/>
        <v>500.82173527396668</v>
      </c>
      <c r="BK24" s="12"/>
    </row>
    <row r="25" spans="1:63">
      <c r="A25" s="11" t="s">
        <v>4</v>
      </c>
      <c r="B25" s="11" t="s">
        <v>20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1</v>
      </c>
      <c r="Q25" s="11">
        <v>1</v>
      </c>
      <c r="R25" s="11">
        <v>1</v>
      </c>
      <c r="S25" s="11">
        <v>1</v>
      </c>
      <c r="T25" s="11">
        <v>1</v>
      </c>
      <c r="U25" s="11">
        <v>1</v>
      </c>
      <c r="V25" s="11">
        <v>1</v>
      </c>
      <c r="W25" s="11">
        <v>1</v>
      </c>
      <c r="X25" s="11">
        <v>1</v>
      </c>
      <c r="Y25" s="11">
        <v>1</v>
      </c>
      <c r="Z25" s="11">
        <v>1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2"/>
    </row>
    <row r="26" spans="1:63">
      <c r="A26" s="3" t="s">
        <v>13</v>
      </c>
      <c r="B26" s="2" t="s">
        <v>7</v>
      </c>
      <c r="C26" s="4"/>
      <c r="D26" s="4"/>
      <c r="E26" s="4"/>
      <c r="F26" s="4"/>
      <c r="G26" s="4"/>
      <c r="H26" s="4"/>
      <c r="I26" s="4"/>
      <c r="J26" s="4"/>
      <c r="K26" s="2">
        <v>1532.6575342465701</v>
      </c>
      <c r="L26" s="2">
        <v>1678.91780821917</v>
      </c>
      <c r="M26" s="2">
        <v>1663.87671232876</v>
      </c>
      <c r="N26" s="2">
        <v>1936.08469945355</v>
      </c>
      <c r="O26" s="2">
        <v>1999.0547945205401</v>
      </c>
      <c r="P26" s="2">
        <v>1830.8328767123201</v>
      </c>
      <c r="Q26" s="2">
        <v>1831.4657534246501</v>
      </c>
      <c r="R26" s="2">
        <v>1708.7267759562801</v>
      </c>
      <c r="S26" s="2">
        <v>1474.02191780821</v>
      </c>
      <c r="T26" s="2">
        <v>1249.98630136986</v>
      </c>
      <c r="U26" s="2">
        <v>1148.6301369862999</v>
      </c>
      <c r="V26" s="2">
        <v>1205.6639344262201</v>
      </c>
      <c r="W26" s="2">
        <v>1193.39726027397</v>
      </c>
      <c r="X26" s="2">
        <v>1330.0328767123201</v>
      </c>
      <c r="Y26" s="2">
        <v>1540.7260273972599</v>
      </c>
      <c r="Z26" s="2">
        <v>1565.06830601092</v>
      </c>
      <c r="AA26" s="2">
        <v>1860.13972602739</v>
      </c>
      <c r="AB26" s="2">
        <v>2116.7287671232798</v>
      </c>
      <c r="AC26" s="2">
        <v>2385.9205479451998</v>
      </c>
      <c r="AD26" s="2">
        <v>2288.1147540983602</v>
      </c>
      <c r="AE26" s="2">
        <v>2165.82465753424</v>
      </c>
      <c r="AF26" s="2">
        <v>2535.3774465753399</v>
      </c>
      <c r="AG26" s="2">
        <v>2486.15579178082</v>
      </c>
      <c r="AH26" s="2">
        <v>2501.6018387978102</v>
      </c>
      <c r="AI26" s="2">
        <v>2549.1651287671202</v>
      </c>
      <c r="AJ26" s="2">
        <v>2545.5035616438299</v>
      </c>
      <c r="AK26" s="2">
        <v>2297.4219178082099</v>
      </c>
      <c r="AL26" s="2">
        <v>2238.0355191256799</v>
      </c>
      <c r="AM26" s="2">
        <v>2159.8054794520499</v>
      </c>
      <c r="AN26" s="2">
        <v>1988.7534246575301</v>
      </c>
      <c r="AO26" s="2">
        <v>2490.79452054794</v>
      </c>
      <c r="AP26" s="4">
        <v>2592.9430000000002</v>
      </c>
      <c r="AQ26" s="2">
        <v>2723.38356164383</v>
      </c>
      <c r="AR26" s="2">
        <v>2880.0273972602699</v>
      </c>
      <c r="AS26" s="2">
        <v>2777.19178082191</v>
      </c>
      <c r="AT26" s="2">
        <v>2820.7650273223999</v>
      </c>
      <c r="AU26" s="4">
        <v>2560</v>
      </c>
      <c r="AV26" s="4">
        <v>2570</v>
      </c>
      <c r="AW26" s="2">
        <v>2849.17808219178</v>
      </c>
      <c r="AX26" s="2">
        <v>2993.6065573770402</v>
      </c>
      <c r="AY26" s="4">
        <v>2938</v>
      </c>
      <c r="AZ26" s="2">
        <v>3010.19178082191</v>
      </c>
      <c r="BA26" s="2">
        <v>3149.4520547945199</v>
      </c>
      <c r="BB26" s="2">
        <v>3242.6502732240401</v>
      </c>
      <c r="BC26" s="2">
        <v>3192.17808219178</v>
      </c>
      <c r="BD26" s="2">
        <v>3230.4794520547898</v>
      </c>
      <c r="BE26" s="2">
        <v>3428.3698630136901</v>
      </c>
      <c r="BF26" s="2">
        <v>3122.75409836065</v>
      </c>
      <c r="BG26" s="4">
        <v>3076.2739999999999</v>
      </c>
      <c r="BH26" s="2">
        <v>3683.3589041095802</v>
      </c>
      <c r="BI26" s="2">
        <v>3615.58904109589</v>
      </c>
      <c r="BJ26" s="2">
        <v>3674.8688524590102</v>
      </c>
      <c r="BK26" s="2">
        <v>3771.21917808219</v>
      </c>
    </row>
    <row r="27" spans="1:63">
      <c r="A27" s="3" t="s">
        <v>13</v>
      </c>
      <c r="B27" s="6" t="s">
        <v>12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/>
    </row>
    <row r="28" spans="1:63">
      <c r="A28" s="11" t="s">
        <v>13</v>
      </c>
      <c r="B28" s="12" t="s">
        <v>18</v>
      </c>
      <c r="C28" s="12">
        <f t="shared" ref="C28:BJ28" si="11">C26*C27</f>
        <v>0</v>
      </c>
      <c r="D28" s="12">
        <f t="shared" si="11"/>
        <v>0</v>
      </c>
      <c r="E28" s="12">
        <f t="shared" si="11"/>
        <v>0</v>
      </c>
      <c r="F28" s="12">
        <f t="shared" si="11"/>
        <v>0</v>
      </c>
      <c r="G28" s="12">
        <f t="shared" si="11"/>
        <v>0</v>
      </c>
      <c r="H28" s="12">
        <f t="shared" si="11"/>
        <v>0</v>
      </c>
      <c r="I28" s="12">
        <f t="shared" si="11"/>
        <v>0</v>
      </c>
      <c r="J28" s="12">
        <f t="shared" si="11"/>
        <v>0</v>
      </c>
      <c r="K28" s="12">
        <f t="shared" si="11"/>
        <v>0</v>
      </c>
      <c r="L28" s="12">
        <f t="shared" si="11"/>
        <v>0</v>
      </c>
      <c r="M28" s="12">
        <f t="shared" si="11"/>
        <v>0</v>
      </c>
      <c r="N28" s="12">
        <f t="shared" si="11"/>
        <v>0</v>
      </c>
      <c r="O28" s="12">
        <f t="shared" si="11"/>
        <v>0</v>
      </c>
      <c r="P28" s="12">
        <f t="shared" si="11"/>
        <v>0</v>
      </c>
      <c r="Q28" s="12">
        <f t="shared" si="11"/>
        <v>0</v>
      </c>
      <c r="R28" s="12">
        <f t="shared" si="11"/>
        <v>0</v>
      </c>
      <c r="S28" s="12">
        <f t="shared" si="11"/>
        <v>0</v>
      </c>
      <c r="T28" s="12">
        <f t="shared" si="11"/>
        <v>0</v>
      </c>
      <c r="U28" s="12">
        <f t="shared" si="11"/>
        <v>0</v>
      </c>
      <c r="V28" s="12">
        <f t="shared" si="11"/>
        <v>0</v>
      </c>
      <c r="W28" s="12">
        <f t="shared" si="11"/>
        <v>0</v>
      </c>
      <c r="X28" s="12">
        <f t="shared" si="11"/>
        <v>0</v>
      </c>
      <c r="Y28" s="12">
        <f t="shared" si="11"/>
        <v>0</v>
      </c>
      <c r="Z28" s="12">
        <f t="shared" si="11"/>
        <v>0</v>
      </c>
      <c r="AA28" s="12">
        <f t="shared" si="11"/>
        <v>0</v>
      </c>
      <c r="AB28" s="12">
        <f t="shared" si="11"/>
        <v>0</v>
      </c>
      <c r="AC28" s="12">
        <f t="shared" si="11"/>
        <v>0</v>
      </c>
      <c r="AD28" s="12">
        <f t="shared" si="11"/>
        <v>0</v>
      </c>
      <c r="AE28" s="12">
        <f t="shared" si="11"/>
        <v>0</v>
      </c>
      <c r="AF28" s="12">
        <f t="shared" si="11"/>
        <v>0</v>
      </c>
      <c r="AG28" s="12">
        <f t="shared" si="11"/>
        <v>0</v>
      </c>
      <c r="AH28" s="12">
        <f t="shared" si="11"/>
        <v>0</v>
      </c>
      <c r="AI28" s="12">
        <f t="shared" si="11"/>
        <v>0</v>
      </c>
      <c r="AJ28" s="12">
        <f t="shared" si="11"/>
        <v>0</v>
      </c>
      <c r="AK28" s="12">
        <f t="shared" si="11"/>
        <v>0</v>
      </c>
      <c r="AL28" s="12">
        <f t="shared" si="11"/>
        <v>0</v>
      </c>
      <c r="AM28" s="12">
        <f t="shared" si="11"/>
        <v>0</v>
      </c>
      <c r="AN28" s="12">
        <f t="shared" si="11"/>
        <v>0</v>
      </c>
      <c r="AO28" s="12">
        <f t="shared" si="11"/>
        <v>0</v>
      </c>
      <c r="AP28" s="12">
        <f t="shared" si="11"/>
        <v>0</v>
      </c>
      <c r="AQ28" s="12">
        <f t="shared" si="11"/>
        <v>0</v>
      </c>
      <c r="AR28" s="12">
        <f t="shared" si="11"/>
        <v>0</v>
      </c>
      <c r="AS28" s="12">
        <f t="shared" si="11"/>
        <v>0</v>
      </c>
      <c r="AT28" s="12">
        <f t="shared" si="11"/>
        <v>0</v>
      </c>
      <c r="AU28" s="12">
        <f t="shared" si="11"/>
        <v>0</v>
      </c>
      <c r="AV28" s="12">
        <f t="shared" si="11"/>
        <v>0</v>
      </c>
      <c r="AW28" s="12">
        <f t="shared" si="11"/>
        <v>0</v>
      </c>
      <c r="AX28" s="12">
        <f t="shared" si="11"/>
        <v>0</v>
      </c>
      <c r="AY28" s="12">
        <f t="shared" si="11"/>
        <v>0</v>
      </c>
      <c r="AZ28" s="12">
        <f t="shared" si="11"/>
        <v>0</v>
      </c>
      <c r="BA28" s="12">
        <f t="shared" si="11"/>
        <v>0</v>
      </c>
      <c r="BB28" s="12">
        <f t="shared" si="11"/>
        <v>0</v>
      </c>
      <c r="BC28" s="12">
        <f t="shared" si="11"/>
        <v>0</v>
      </c>
      <c r="BD28" s="12">
        <f t="shared" si="11"/>
        <v>0</v>
      </c>
      <c r="BE28" s="12">
        <f t="shared" si="11"/>
        <v>0</v>
      </c>
      <c r="BF28" s="12">
        <f t="shared" si="11"/>
        <v>0</v>
      </c>
      <c r="BG28" s="12">
        <f t="shared" si="11"/>
        <v>0</v>
      </c>
      <c r="BH28" s="12">
        <f t="shared" si="11"/>
        <v>0</v>
      </c>
      <c r="BI28" s="12">
        <f t="shared" si="11"/>
        <v>0</v>
      </c>
      <c r="BJ28" s="12">
        <f t="shared" si="11"/>
        <v>0</v>
      </c>
      <c r="BK28" s="12"/>
    </row>
    <row r="29" spans="1:63">
      <c r="A29" s="2" t="s">
        <v>19</v>
      </c>
      <c r="B29" s="2" t="s">
        <v>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V29" s="2">
        <v>459.87431693988998</v>
      </c>
      <c r="W29" s="4">
        <v>546</v>
      </c>
      <c r="X29" s="4">
        <v>572</v>
      </c>
      <c r="Y29" s="2">
        <v>566.18356164383499</v>
      </c>
      <c r="Z29" s="2">
        <v>554.04918032786804</v>
      </c>
      <c r="AA29" s="2">
        <v>595.10410958904095</v>
      </c>
      <c r="AB29" s="2">
        <v>630.79452054794501</v>
      </c>
      <c r="AC29" s="2">
        <v>622.50410958904104</v>
      </c>
      <c r="AD29" s="2">
        <v>628.00546448087402</v>
      </c>
      <c r="AE29" s="4">
        <v>642.97260000000006</v>
      </c>
      <c r="AF29" s="2">
        <v>661.90789589041003</v>
      </c>
      <c r="AG29" s="2">
        <v>685.69716712328704</v>
      </c>
      <c r="AH29" s="2">
        <v>777.10668032786805</v>
      </c>
      <c r="AI29" s="2">
        <v>835.60403013698601</v>
      </c>
      <c r="AJ29" s="2">
        <v>968.99238082191698</v>
      </c>
      <c r="AK29" s="2">
        <v>1098.0044109589001</v>
      </c>
      <c r="AL29" s="2">
        <v>1231.2237978142</v>
      </c>
      <c r="AM29" s="2">
        <v>1292.67646575342</v>
      </c>
      <c r="AN29" s="2">
        <v>1452.68616438356</v>
      </c>
      <c r="AO29" s="2">
        <v>1499.7347534246501</v>
      </c>
      <c r="AP29" s="2">
        <v>1484.1993606557301</v>
      </c>
      <c r="AQ29" s="2">
        <v>1638.83669315068</v>
      </c>
      <c r="AR29" s="2">
        <v>1727.33835068493</v>
      </c>
      <c r="AS29" s="2">
        <v>1751.4954328767101</v>
      </c>
      <c r="AT29" s="2">
        <v>1812.2280300546399</v>
      </c>
      <c r="AU29" s="2">
        <v>1950.3640301369801</v>
      </c>
      <c r="AV29" s="2">
        <v>2054.6679945205401</v>
      </c>
      <c r="AW29" s="2">
        <v>2105.3995808219101</v>
      </c>
      <c r="AX29" s="2">
        <v>2061.2254945355098</v>
      </c>
      <c r="AY29" s="2">
        <v>2023.87546575342</v>
      </c>
      <c r="AZ29" s="2">
        <v>2254.6003068493101</v>
      </c>
      <c r="BA29" s="2">
        <v>2437.44490136986</v>
      </c>
      <c r="BB29" s="2">
        <v>2509.9757759562799</v>
      </c>
      <c r="BC29" s="2">
        <v>2621.7196472980499</v>
      </c>
      <c r="BD29" s="2">
        <v>2586.6036569736598</v>
      </c>
      <c r="BE29" s="2">
        <v>2787.7574046910299</v>
      </c>
      <c r="BF29" s="2">
        <v>2939.9500363000602</v>
      </c>
      <c r="BG29" s="2">
        <v>2905.12056941845</v>
      </c>
      <c r="BH29" s="4">
        <v>3021.5050000000001</v>
      </c>
      <c r="BI29" s="2">
        <v>3401.5908955823702</v>
      </c>
      <c r="BJ29" s="2">
        <v>3356.46709289617</v>
      </c>
      <c r="BK29" s="2">
        <v>3769.4070101649399</v>
      </c>
    </row>
    <row r="30" spans="1:63">
      <c r="A30" s="2" t="s">
        <v>19</v>
      </c>
      <c r="B30" s="6" t="s">
        <v>12</v>
      </c>
      <c r="C30" s="6">
        <v>0.5</v>
      </c>
      <c r="D30" s="6">
        <v>0.5</v>
      </c>
      <c r="E30" s="6">
        <v>0.5</v>
      </c>
      <c r="F30" s="6">
        <v>0.5</v>
      </c>
      <c r="G30" s="6">
        <v>0.5</v>
      </c>
      <c r="H30" s="6">
        <v>0.5</v>
      </c>
      <c r="I30" s="6">
        <v>0.5</v>
      </c>
      <c r="J30" s="6">
        <v>0.5</v>
      </c>
      <c r="K30" s="6">
        <v>0.5</v>
      </c>
      <c r="L30" s="6">
        <v>0.5</v>
      </c>
      <c r="M30" s="6">
        <v>0.5</v>
      </c>
      <c r="N30" s="6">
        <v>0.5</v>
      </c>
      <c r="O30" s="6">
        <v>0.5</v>
      </c>
      <c r="P30" s="6">
        <v>0.5</v>
      </c>
      <c r="Q30" s="6">
        <v>0.5</v>
      </c>
      <c r="R30" s="6">
        <v>0.5</v>
      </c>
      <c r="S30" s="6">
        <v>0.5</v>
      </c>
      <c r="T30" s="6">
        <v>0.5</v>
      </c>
      <c r="U30" s="6">
        <v>0.5</v>
      </c>
      <c r="V30" s="6">
        <v>0.5</v>
      </c>
      <c r="W30" s="6">
        <v>0.5</v>
      </c>
      <c r="X30" s="6">
        <v>0.5</v>
      </c>
      <c r="Y30" s="6">
        <v>0.5</v>
      </c>
      <c r="Z30" s="6">
        <v>0.5</v>
      </c>
      <c r="AA30" s="6">
        <v>0.5</v>
      </c>
      <c r="AB30" s="6">
        <v>0.5</v>
      </c>
      <c r="AC30" s="6">
        <v>0.5</v>
      </c>
      <c r="AD30" s="6">
        <v>0.5</v>
      </c>
      <c r="AE30" s="6">
        <v>0.5</v>
      </c>
      <c r="AF30" s="6">
        <v>0.5</v>
      </c>
      <c r="AG30" s="6">
        <v>0.5</v>
      </c>
      <c r="AH30" s="6">
        <v>0.5</v>
      </c>
      <c r="AI30" s="6">
        <v>0.5</v>
      </c>
      <c r="AJ30" s="6">
        <v>0.5</v>
      </c>
      <c r="AK30" s="6">
        <v>0.5</v>
      </c>
      <c r="AL30" s="6">
        <v>0.5</v>
      </c>
      <c r="AM30" s="6">
        <v>0.5</v>
      </c>
      <c r="AN30" s="6">
        <v>0.45</v>
      </c>
      <c r="AO30" s="6">
        <v>0.45</v>
      </c>
      <c r="AP30" s="6">
        <v>0.45</v>
      </c>
      <c r="AQ30" s="6">
        <v>0.4</v>
      </c>
      <c r="AR30" s="6">
        <v>0.4</v>
      </c>
      <c r="AS30" s="6">
        <v>0.4</v>
      </c>
      <c r="AT30" s="6">
        <v>0.4</v>
      </c>
      <c r="AU30" s="6">
        <v>0.4</v>
      </c>
      <c r="AV30" s="6">
        <v>0.35</v>
      </c>
      <c r="AW30" s="6">
        <v>0.35</v>
      </c>
      <c r="AX30" s="6">
        <v>0.35</v>
      </c>
      <c r="AY30" s="6">
        <v>0.35</v>
      </c>
      <c r="AZ30" s="6">
        <v>0.35</v>
      </c>
      <c r="BA30" s="6">
        <v>0.35</v>
      </c>
      <c r="BB30" s="6">
        <v>0.35</v>
      </c>
      <c r="BC30" s="6">
        <v>0.35</v>
      </c>
      <c r="BD30" s="6">
        <v>0.35</v>
      </c>
      <c r="BE30" s="6">
        <v>0.35</v>
      </c>
      <c r="BF30" s="6">
        <v>0.35</v>
      </c>
      <c r="BG30" s="6">
        <v>0.35</v>
      </c>
      <c r="BH30" s="6">
        <v>0.35</v>
      </c>
      <c r="BI30" s="6">
        <v>0.35</v>
      </c>
      <c r="BJ30" s="6">
        <v>0.35</v>
      </c>
      <c r="BK30" s="6"/>
    </row>
    <row r="31" spans="1:63" ht="13.8">
      <c r="A31" s="12" t="s">
        <v>19</v>
      </c>
      <c r="B31" s="12" t="s">
        <v>18</v>
      </c>
      <c r="C31" s="12">
        <f t="shared" ref="C31:T31" si="12">C29*C30</f>
        <v>0</v>
      </c>
      <c r="D31" s="12">
        <f t="shared" si="12"/>
        <v>0</v>
      </c>
      <c r="E31" s="12">
        <f t="shared" si="12"/>
        <v>0</v>
      </c>
      <c r="F31" s="12">
        <f t="shared" si="12"/>
        <v>0</v>
      </c>
      <c r="G31" s="12">
        <f t="shared" si="12"/>
        <v>0</v>
      </c>
      <c r="H31" s="12">
        <f t="shared" si="12"/>
        <v>0</v>
      </c>
      <c r="I31" s="12">
        <f t="shared" si="12"/>
        <v>0</v>
      </c>
      <c r="J31" s="12">
        <f t="shared" si="12"/>
        <v>0</v>
      </c>
      <c r="K31" s="12">
        <f t="shared" si="12"/>
        <v>0</v>
      </c>
      <c r="L31" s="12">
        <f t="shared" si="12"/>
        <v>0</v>
      </c>
      <c r="M31" s="12">
        <f t="shared" si="12"/>
        <v>0</v>
      </c>
      <c r="N31" s="12">
        <f t="shared" si="12"/>
        <v>0</v>
      </c>
      <c r="O31" s="12">
        <f t="shared" si="12"/>
        <v>0</v>
      </c>
      <c r="P31" s="12">
        <f t="shared" si="12"/>
        <v>0</v>
      </c>
      <c r="Q31" s="12">
        <f t="shared" si="12"/>
        <v>0</v>
      </c>
      <c r="R31" s="12">
        <f t="shared" si="12"/>
        <v>0</v>
      </c>
      <c r="S31" s="12">
        <f t="shared" si="12"/>
        <v>0</v>
      </c>
      <c r="T31" s="12">
        <f t="shared" si="12"/>
        <v>0</v>
      </c>
      <c r="U31" s="12">
        <f t="shared" ref="U31:BJ31" si="13">V29*U30</f>
        <v>229.93715846994499</v>
      </c>
      <c r="V31" s="12">
        <f t="shared" si="13"/>
        <v>273</v>
      </c>
      <c r="W31" s="12">
        <f t="shared" si="13"/>
        <v>286</v>
      </c>
      <c r="X31" s="12">
        <f t="shared" si="13"/>
        <v>283.0917808219175</v>
      </c>
      <c r="Y31" s="12">
        <f t="shared" si="13"/>
        <v>277.02459016393402</v>
      </c>
      <c r="Z31" s="12">
        <f t="shared" si="13"/>
        <v>297.55205479452047</v>
      </c>
      <c r="AA31" s="12">
        <f t="shared" si="13"/>
        <v>315.39726027397251</v>
      </c>
      <c r="AB31" s="12">
        <f t="shared" si="13"/>
        <v>311.25205479452052</v>
      </c>
      <c r="AC31" s="12">
        <f t="shared" si="13"/>
        <v>314.00273224043701</v>
      </c>
      <c r="AD31" s="12">
        <f t="shared" si="13"/>
        <v>321.48630000000003</v>
      </c>
      <c r="AE31" s="12">
        <f t="shared" si="13"/>
        <v>330.95394794520502</v>
      </c>
      <c r="AF31" s="12">
        <f t="shared" si="13"/>
        <v>342.84858356164352</v>
      </c>
      <c r="AG31" s="12">
        <f t="shared" si="13"/>
        <v>388.55334016393402</v>
      </c>
      <c r="AH31" s="12">
        <f t="shared" si="13"/>
        <v>417.80201506849301</v>
      </c>
      <c r="AI31" s="12">
        <f t="shared" si="13"/>
        <v>484.49619041095849</v>
      </c>
      <c r="AJ31" s="12">
        <f t="shared" si="13"/>
        <v>549.00220547945003</v>
      </c>
      <c r="AK31" s="12">
        <f t="shared" si="13"/>
        <v>615.6118989071</v>
      </c>
      <c r="AL31" s="12">
        <f t="shared" si="13"/>
        <v>646.33823287670998</v>
      </c>
      <c r="AM31" s="12">
        <f t="shared" si="13"/>
        <v>726.34308219178001</v>
      </c>
      <c r="AN31" s="12">
        <f t="shared" si="13"/>
        <v>674.88063904109254</v>
      </c>
      <c r="AO31" s="12">
        <f t="shared" si="13"/>
        <v>667.88971229507854</v>
      </c>
      <c r="AP31" s="12">
        <f t="shared" si="13"/>
        <v>737.47651191780608</v>
      </c>
      <c r="AQ31" s="12">
        <f t="shared" si="13"/>
        <v>690.93534027397209</v>
      </c>
      <c r="AR31" s="12">
        <f t="shared" si="13"/>
        <v>700.59817315068403</v>
      </c>
      <c r="AS31" s="12">
        <f t="shared" si="13"/>
        <v>724.89121202185606</v>
      </c>
      <c r="AT31" s="12">
        <f t="shared" si="13"/>
        <v>780.14561205479208</v>
      </c>
      <c r="AU31" s="12">
        <f t="shared" si="13"/>
        <v>821.86719780821613</v>
      </c>
      <c r="AV31" s="12">
        <f t="shared" si="13"/>
        <v>736.88985328766853</v>
      </c>
      <c r="AW31" s="12">
        <f t="shared" si="13"/>
        <v>721.42892308742842</v>
      </c>
      <c r="AX31" s="12">
        <f t="shared" si="13"/>
        <v>708.35641301369697</v>
      </c>
      <c r="AY31" s="12">
        <f t="shared" si="13"/>
        <v>789.1101073972585</v>
      </c>
      <c r="AZ31" s="12">
        <f t="shared" si="13"/>
        <v>853.10571547945096</v>
      </c>
      <c r="BA31" s="12">
        <f t="shared" si="13"/>
        <v>878.49152158469792</v>
      </c>
      <c r="BB31" s="12">
        <f t="shared" si="13"/>
        <v>917.60187655431741</v>
      </c>
      <c r="BC31" s="12">
        <f t="shared" si="13"/>
        <v>905.31127994078088</v>
      </c>
      <c r="BD31" s="12">
        <f t="shared" si="13"/>
        <v>975.71509164186045</v>
      </c>
      <c r="BE31" s="12">
        <f t="shared" si="13"/>
        <v>1028.982512705021</v>
      </c>
      <c r="BF31" s="12">
        <f t="shared" si="13"/>
        <v>1016.7921992964574</v>
      </c>
      <c r="BG31" s="12">
        <f t="shared" si="13"/>
        <v>1057.52675</v>
      </c>
      <c r="BH31" s="12">
        <f t="shared" si="13"/>
        <v>1190.5568134538296</v>
      </c>
      <c r="BI31" s="12">
        <f t="shared" si="13"/>
        <v>1174.7634825136595</v>
      </c>
      <c r="BJ31" s="12">
        <f t="shared" si="13"/>
        <v>1319.292453557729</v>
      </c>
      <c r="BK31" s="12"/>
    </row>
    <row r="32" spans="1:63" ht="13.8">
      <c r="A32" s="2" t="s">
        <v>8</v>
      </c>
      <c r="B32" s="2" t="s">
        <v>7</v>
      </c>
      <c r="C32" s="4"/>
      <c r="D32" s="4"/>
      <c r="E32" s="4"/>
      <c r="F32" s="4"/>
      <c r="G32" s="4"/>
      <c r="H32" s="4"/>
      <c r="I32" s="4"/>
      <c r="J32" s="4"/>
      <c r="K32" s="2">
        <v>3019.9753424657501</v>
      </c>
      <c r="L32" s="2">
        <v>2546.3424657534201</v>
      </c>
      <c r="M32" s="2">
        <v>2083.6849315068398</v>
      </c>
      <c r="N32" s="2">
        <v>2145.1557377049098</v>
      </c>
      <c r="O32" s="2">
        <v>1968.9315068493099</v>
      </c>
      <c r="P32" s="2">
        <v>2131.0301369863</v>
      </c>
      <c r="Q32" s="2">
        <v>2500.05753424657</v>
      </c>
      <c r="R32" s="2">
        <v>1656.1256830601001</v>
      </c>
      <c r="S32" s="2">
        <v>1125.1890410958899</v>
      </c>
      <c r="T32" s="4">
        <v>822.97260000000006</v>
      </c>
      <c r="U32" s="2">
        <v>1064.0328767123201</v>
      </c>
      <c r="V32" s="2">
        <v>925.73770491803202</v>
      </c>
      <c r="W32" s="2">
        <v>1022.57808219178</v>
      </c>
      <c r="X32" s="2">
        <v>1419.0191780821899</v>
      </c>
      <c r="Y32" s="2">
        <v>1584.9506849315001</v>
      </c>
      <c r="Z32" s="2">
        <v>1491.57650273224</v>
      </c>
      <c r="AA32" s="2">
        <v>1783.1150684931499</v>
      </c>
      <c r="AB32" s="2">
        <v>1174.7315068493101</v>
      </c>
      <c r="AC32" s="2">
        <v>190.02465753424599</v>
      </c>
      <c r="AD32" s="2">
        <v>880.25136612021799</v>
      </c>
      <c r="AE32" s="2">
        <v>1691.4164383561599</v>
      </c>
      <c r="AF32" s="2">
        <v>1834.7808219178</v>
      </c>
      <c r="AG32" s="2">
        <v>1836.7671232876701</v>
      </c>
      <c r="AH32" s="2">
        <v>1806.6120218579199</v>
      </c>
      <c r="AI32" s="2">
        <v>1836.19178082191</v>
      </c>
      <c r="AJ32" s="2">
        <v>1811.3041095890401</v>
      </c>
      <c r="AK32" s="2">
        <v>1653.05753424657</v>
      </c>
      <c r="AL32" s="2">
        <v>1764.5901639344199</v>
      </c>
      <c r="AM32" s="2">
        <v>1717.8493150684899</v>
      </c>
      <c r="AN32" s="2">
        <v>1601.0410958904099</v>
      </c>
      <c r="AO32" s="2">
        <v>2171.7561643835602</v>
      </c>
      <c r="AP32" s="2">
        <v>2344.3852459016298</v>
      </c>
      <c r="AQ32" s="2">
        <v>2423.0958904109498</v>
      </c>
      <c r="AR32" s="2">
        <v>2499.4219178082099</v>
      </c>
      <c r="AS32" s="2">
        <v>2441.77945205479</v>
      </c>
      <c r="AT32" s="2">
        <v>2585.74857650273</v>
      </c>
      <c r="AU32" s="4">
        <v>2350</v>
      </c>
      <c r="AV32" s="2">
        <v>2300.4109589041</v>
      </c>
      <c r="AW32" s="2">
        <v>2530.1369863013601</v>
      </c>
      <c r="AX32" s="2">
        <v>2634.9453551912502</v>
      </c>
      <c r="AY32" s="4">
        <v>2700</v>
      </c>
      <c r="AZ32" s="2">
        <v>2692.0547945205399</v>
      </c>
      <c r="BA32" s="2">
        <v>2858.6712328767098</v>
      </c>
      <c r="BB32" s="2">
        <v>2961.3114754098301</v>
      </c>
      <c r="BC32" s="2">
        <v>2805.8767123287598</v>
      </c>
      <c r="BD32" s="2">
        <v>2842.0410958904099</v>
      </c>
      <c r="BE32" s="2">
        <v>2800.61643835616</v>
      </c>
      <c r="BF32" s="2">
        <v>2525.35519125683</v>
      </c>
      <c r="BG32" s="2">
        <v>2506.21917808219</v>
      </c>
      <c r="BH32" s="4">
        <v>2795.1080000000002</v>
      </c>
      <c r="BI32" s="2">
        <v>2679.3424657534201</v>
      </c>
      <c r="BJ32" s="2">
        <v>2549.1803278688499</v>
      </c>
      <c r="BK32" s="2">
        <v>2583.5479452054701</v>
      </c>
    </row>
    <row r="33" spans="1:63" ht="13.8">
      <c r="A33" s="2" t="s">
        <v>8</v>
      </c>
      <c r="B33" s="6" t="s">
        <v>12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7">
        <f t="shared" ref="BB33:BJ33" si="14">BB34/BB31</f>
        <v>1.6346958722803E-2</v>
      </c>
      <c r="BC33" s="7">
        <f t="shared" si="14"/>
        <v>1.6568886671754709E-2</v>
      </c>
      <c r="BD33" s="7">
        <f t="shared" si="14"/>
        <v>1.5373340156868047E-2</v>
      </c>
      <c r="BE33" s="7">
        <f t="shared" si="14"/>
        <v>1.4577507212020092E-2</v>
      </c>
      <c r="BF33" s="7">
        <f t="shared" si="14"/>
        <v>7.3761384137185818E-2</v>
      </c>
      <c r="BG33" s="7">
        <f t="shared" si="14"/>
        <v>7.0920191853303005E-2</v>
      </c>
      <c r="BH33" s="7">
        <f t="shared" si="14"/>
        <v>6.299573372094984E-2</v>
      </c>
      <c r="BI33" s="7">
        <f t="shared" si="14"/>
        <v>6.3842638213031058E-2</v>
      </c>
      <c r="BJ33" s="7">
        <f t="shared" si="14"/>
        <v>6.2154528193404751E-2</v>
      </c>
      <c r="BK33" s="7"/>
    </row>
    <row r="34" spans="1:63" ht="13.8">
      <c r="A34" s="12" t="s">
        <v>8</v>
      </c>
      <c r="B34" s="12" t="s">
        <v>18</v>
      </c>
      <c r="C34" s="12">
        <f t="shared" ref="C34:BA34" si="15">C32*C33</f>
        <v>0</v>
      </c>
      <c r="D34" s="12">
        <f t="shared" si="15"/>
        <v>0</v>
      </c>
      <c r="E34" s="12">
        <f t="shared" si="15"/>
        <v>0</v>
      </c>
      <c r="F34" s="12">
        <f t="shared" si="15"/>
        <v>0</v>
      </c>
      <c r="G34" s="12">
        <f t="shared" si="15"/>
        <v>0</v>
      </c>
      <c r="H34" s="12">
        <f t="shared" si="15"/>
        <v>0</v>
      </c>
      <c r="I34" s="12">
        <f t="shared" si="15"/>
        <v>0</v>
      </c>
      <c r="J34" s="12">
        <f t="shared" si="15"/>
        <v>0</v>
      </c>
      <c r="K34" s="12">
        <f t="shared" si="15"/>
        <v>0</v>
      </c>
      <c r="L34" s="12">
        <f t="shared" si="15"/>
        <v>0</v>
      </c>
      <c r="M34" s="12">
        <f t="shared" si="15"/>
        <v>0</v>
      </c>
      <c r="N34" s="12">
        <f t="shared" si="15"/>
        <v>0</v>
      </c>
      <c r="O34" s="12">
        <f t="shared" si="15"/>
        <v>0</v>
      </c>
      <c r="P34" s="12">
        <f t="shared" si="15"/>
        <v>0</v>
      </c>
      <c r="Q34" s="12">
        <f t="shared" si="15"/>
        <v>0</v>
      </c>
      <c r="R34" s="12">
        <f t="shared" si="15"/>
        <v>0</v>
      </c>
      <c r="S34" s="12">
        <f t="shared" si="15"/>
        <v>0</v>
      </c>
      <c r="T34" s="12">
        <f t="shared" si="15"/>
        <v>0</v>
      </c>
      <c r="U34" s="12">
        <f t="shared" si="15"/>
        <v>0</v>
      </c>
      <c r="V34" s="12">
        <f t="shared" si="15"/>
        <v>0</v>
      </c>
      <c r="W34" s="12">
        <f t="shared" si="15"/>
        <v>0</v>
      </c>
      <c r="X34" s="12">
        <f t="shared" si="15"/>
        <v>0</v>
      </c>
      <c r="Y34" s="12">
        <f t="shared" si="15"/>
        <v>0</v>
      </c>
      <c r="Z34" s="12">
        <f t="shared" si="15"/>
        <v>0</v>
      </c>
      <c r="AA34" s="12">
        <f t="shared" si="15"/>
        <v>0</v>
      </c>
      <c r="AB34" s="12">
        <f t="shared" si="15"/>
        <v>0</v>
      </c>
      <c r="AC34" s="12">
        <f t="shared" si="15"/>
        <v>0</v>
      </c>
      <c r="AD34" s="12">
        <f t="shared" si="15"/>
        <v>0</v>
      </c>
      <c r="AE34" s="12">
        <f t="shared" si="15"/>
        <v>0</v>
      </c>
      <c r="AF34" s="12">
        <f t="shared" si="15"/>
        <v>0</v>
      </c>
      <c r="AG34" s="12">
        <f t="shared" si="15"/>
        <v>0</v>
      </c>
      <c r="AH34" s="12">
        <f t="shared" si="15"/>
        <v>0</v>
      </c>
      <c r="AI34" s="12">
        <f t="shared" si="15"/>
        <v>0</v>
      </c>
      <c r="AJ34" s="12">
        <f t="shared" si="15"/>
        <v>0</v>
      </c>
      <c r="AK34" s="12">
        <f t="shared" si="15"/>
        <v>0</v>
      </c>
      <c r="AL34" s="12">
        <f t="shared" si="15"/>
        <v>0</v>
      </c>
      <c r="AM34" s="12">
        <f t="shared" si="15"/>
        <v>0</v>
      </c>
      <c r="AN34" s="12">
        <f t="shared" si="15"/>
        <v>0</v>
      </c>
      <c r="AO34" s="12">
        <f t="shared" si="15"/>
        <v>0</v>
      </c>
      <c r="AP34" s="12">
        <f t="shared" si="15"/>
        <v>0</v>
      </c>
      <c r="AQ34" s="12">
        <f t="shared" si="15"/>
        <v>0</v>
      </c>
      <c r="AR34" s="12">
        <f t="shared" si="15"/>
        <v>0</v>
      </c>
      <c r="AS34" s="12">
        <f t="shared" si="15"/>
        <v>0</v>
      </c>
      <c r="AT34" s="12">
        <f t="shared" si="15"/>
        <v>0</v>
      </c>
      <c r="AU34" s="12">
        <f t="shared" si="15"/>
        <v>0</v>
      </c>
      <c r="AV34" s="12">
        <f t="shared" si="15"/>
        <v>0</v>
      </c>
      <c r="AW34" s="12">
        <f t="shared" si="15"/>
        <v>0</v>
      </c>
      <c r="AX34" s="12">
        <f t="shared" si="15"/>
        <v>0</v>
      </c>
      <c r="AY34" s="12">
        <f t="shared" si="15"/>
        <v>0</v>
      </c>
      <c r="AZ34" s="12">
        <f t="shared" si="15"/>
        <v>0</v>
      </c>
      <c r="BA34" s="12">
        <f t="shared" si="15"/>
        <v>0</v>
      </c>
      <c r="BB34" s="11">
        <v>15</v>
      </c>
      <c r="BC34" s="11">
        <v>15</v>
      </c>
      <c r="BD34" s="11">
        <v>15</v>
      </c>
      <c r="BE34" s="11">
        <v>15</v>
      </c>
      <c r="BF34" s="11">
        <v>75</v>
      </c>
      <c r="BG34" s="11">
        <v>75</v>
      </c>
      <c r="BH34" s="11">
        <v>75</v>
      </c>
      <c r="BI34" s="11">
        <v>75</v>
      </c>
      <c r="BJ34" s="11">
        <v>82</v>
      </c>
      <c r="BK34" s="11"/>
    </row>
    <row r="35" spans="1:63" ht="13.8">
      <c r="A35" s="11" t="s">
        <v>8</v>
      </c>
      <c r="B35" s="11" t="s">
        <v>20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1</v>
      </c>
      <c r="AC35" s="11">
        <v>1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/>
    </row>
    <row r="36" spans="1:63" ht="13.8">
      <c r="A36" s="2" t="s">
        <v>21</v>
      </c>
      <c r="B36" s="2" t="s">
        <v>7</v>
      </c>
      <c r="C36" s="4"/>
      <c r="D36" s="4"/>
      <c r="E36" s="4"/>
      <c r="F36" s="4"/>
      <c r="G36" s="4"/>
      <c r="H36" s="4"/>
      <c r="I36" s="4"/>
      <c r="J36" s="4"/>
      <c r="K36" s="2">
        <v>464.69863013698603</v>
      </c>
      <c r="L36" s="2">
        <v>571.28219178082099</v>
      </c>
      <c r="M36" s="4">
        <v>705.0548</v>
      </c>
      <c r="N36" s="2">
        <v>830.926229508196</v>
      </c>
      <c r="O36" s="2">
        <v>980.95616438356103</v>
      </c>
      <c r="P36" s="2">
        <v>1209.0246575342401</v>
      </c>
      <c r="Q36" s="2">
        <v>1461.24109589041</v>
      </c>
      <c r="R36" s="2">
        <v>1936.19945355191</v>
      </c>
      <c r="S36" s="2">
        <v>2313.1835616438302</v>
      </c>
      <c r="T36" s="2">
        <v>2748.1506849315001</v>
      </c>
      <c r="U36" s="2">
        <v>2689.4657534246498</v>
      </c>
      <c r="V36" s="2">
        <v>2683.7240437158398</v>
      </c>
      <c r="W36" s="2">
        <v>2744.8493150684899</v>
      </c>
      <c r="X36" s="2">
        <v>2434.8273972602701</v>
      </c>
      <c r="Y36" s="2">
        <v>2548.3698630136901</v>
      </c>
      <c r="Z36" s="2">
        <v>2511.84699453551</v>
      </c>
      <c r="AA36" s="2">
        <v>2520.0164383561601</v>
      </c>
      <c r="AB36" s="2">
        <v>2552.9506849314998</v>
      </c>
      <c r="AC36" s="2">
        <v>2680.0849315068399</v>
      </c>
      <c r="AD36" s="2">
        <v>2667.7349726775901</v>
      </c>
      <c r="AE36" s="2">
        <v>2673.3561643835601</v>
      </c>
      <c r="AF36" s="2">
        <v>2685.1017397260198</v>
      </c>
      <c r="AG36" s="2">
        <v>2617.1995479451998</v>
      </c>
      <c r="AH36" s="2">
        <v>2858.3328524590102</v>
      </c>
      <c r="AI36" s="2">
        <v>3022.21986301369</v>
      </c>
      <c r="AJ36" s="2">
        <v>3070.4545068493098</v>
      </c>
      <c r="AK36" s="2">
        <v>2906.0281917808202</v>
      </c>
      <c r="AL36" s="4">
        <v>3011.9650000000001</v>
      </c>
      <c r="AM36" s="2">
        <v>3127.0363643835599</v>
      </c>
      <c r="AN36" s="2">
        <v>3177.0989643835601</v>
      </c>
      <c r="AO36" s="2">
        <v>3370.8960958904099</v>
      </c>
      <c r="AP36" s="2">
        <v>3382.8984071038199</v>
      </c>
      <c r="AQ36" s="2">
        <v>3333.3488328767098</v>
      </c>
      <c r="AR36" s="2">
        <v>3255.5788438356099</v>
      </c>
      <c r="AS36" s="2">
        <v>3075.7099561643799</v>
      </c>
      <c r="AT36" s="2">
        <v>2838.9887978142001</v>
      </c>
      <c r="AU36" s="2">
        <v>2645.84328767123</v>
      </c>
      <c r="AV36" s="2">
        <v>2621.1389041095799</v>
      </c>
      <c r="AW36" s="2">
        <v>2599.8473479452</v>
      </c>
      <c r="AX36" s="2">
        <v>2592.5054644808702</v>
      </c>
      <c r="AY36" s="2">
        <v>2561.8575342465701</v>
      </c>
      <c r="AZ36" s="2">
        <v>2468.5479452054701</v>
      </c>
      <c r="BA36" s="2">
        <v>2302.4931506849298</v>
      </c>
      <c r="BB36" s="2">
        <v>2186.8743169398899</v>
      </c>
      <c r="BC36" s="2">
        <v>1980.6821917808199</v>
      </c>
      <c r="BD36" s="2">
        <v>1846.89466301369</v>
      </c>
      <c r="BE36" s="2">
        <v>1705.8468493150599</v>
      </c>
      <c r="BF36" s="2">
        <v>1722.8038251366099</v>
      </c>
      <c r="BG36" s="2">
        <v>1779.85205479452</v>
      </c>
      <c r="BH36" s="2">
        <v>1843.0932247123201</v>
      </c>
      <c r="BI36" s="2">
        <v>1935.78542739726</v>
      </c>
      <c r="BJ36" s="2">
        <v>1841.77786885245</v>
      </c>
      <c r="BK36" s="2">
        <v>1726.04608767123</v>
      </c>
    </row>
    <row r="37" spans="1:63" ht="14.4">
      <c r="A37" s="2" t="s">
        <v>21</v>
      </c>
      <c r="B37" s="6" t="s">
        <v>12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20">
        <v>0.64870000000000005</v>
      </c>
      <c r="AN37" s="20">
        <v>0.67720000000000002</v>
      </c>
      <c r="AO37" s="20">
        <v>0.71679999999999999</v>
      </c>
      <c r="AP37" s="20">
        <v>0.72150000000000003</v>
      </c>
      <c r="AQ37" s="20">
        <v>0.70709999999999995</v>
      </c>
      <c r="AR37" s="20">
        <v>0.67720000000000002</v>
      </c>
      <c r="AS37" s="20">
        <v>0.65600000000000003</v>
      </c>
      <c r="AT37" s="20">
        <v>0.62529999999999997</v>
      </c>
      <c r="AU37" s="20">
        <v>0.57379999999999998</v>
      </c>
      <c r="AV37" s="20">
        <v>0.54220000000000002</v>
      </c>
      <c r="AW37" s="20">
        <v>0.52600000000000002</v>
      </c>
      <c r="AX37" s="20">
        <v>0.51380000000000003</v>
      </c>
      <c r="AY37" s="20">
        <v>0.51690000000000003</v>
      </c>
      <c r="AZ37" s="20">
        <v>0.5071</v>
      </c>
      <c r="BA37" s="20">
        <v>0.49690000000000001</v>
      </c>
      <c r="BB37" s="20">
        <v>0.50260000000000005</v>
      </c>
      <c r="BC37" s="21">
        <v>0.53100000000000003</v>
      </c>
      <c r="BD37" s="20">
        <v>0.56499999999999995</v>
      </c>
      <c r="BE37" s="20">
        <v>0.58919999999999995</v>
      </c>
      <c r="BF37" s="20">
        <v>0.55449999999999999</v>
      </c>
      <c r="BG37" s="20">
        <v>0.50039999999999996</v>
      </c>
      <c r="BH37" s="20">
        <v>0.44690000000000002</v>
      </c>
      <c r="BI37" s="20">
        <v>0.41570000000000001</v>
      </c>
      <c r="BJ37" s="20">
        <v>0.41310000000000002</v>
      </c>
      <c r="BK37" s="20"/>
    </row>
    <row r="38" spans="1:63" ht="13.8">
      <c r="A38" s="12" t="s">
        <v>21</v>
      </c>
      <c r="B38" s="12" t="s">
        <v>18</v>
      </c>
      <c r="C38" s="12">
        <f t="shared" ref="C38:BJ38" si="16">C36*C37</f>
        <v>0</v>
      </c>
      <c r="D38" s="12">
        <f t="shared" si="16"/>
        <v>0</v>
      </c>
      <c r="E38" s="12">
        <f t="shared" si="16"/>
        <v>0</v>
      </c>
      <c r="F38" s="12">
        <f t="shared" si="16"/>
        <v>0</v>
      </c>
      <c r="G38" s="12">
        <f t="shared" si="16"/>
        <v>0</v>
      </c>
      <c r="H38" s="12">
        <f t="shared" si="16"/>
        <v>0</v>
      </c>
      <c r="I38" s="12">
        <f t="shared" si="16"/>
        <v>0</v>
      </c>
      <c r="J38" s="12">
        <f t="shared" si="16"/>
        <v>0</v>
      </c>
      <c r="K38" s="12">
        <f t="shared" si="16"/>
        <v>0</v>
      </c>
      <c r="L38" s="12">
        <f t="shared" si="16"/>
        <v>0</v>
      </c>
      <c r="M38" s="12">
        <f t="shared" si="16"/>
        <v>0</v>
      </c>
      <c r="N38" s="12">
        <f t="shared" si="16"/>
        <v>0</v>
      </c>
      <c r="O38" s="12">
        <f t="shared" si="16"/>
        <v>0</v>
      </c>
      <c r="P38" s="12">
        <f t="shared" si="16"/>
        <v>0</v>
      </c>
      <c r="Q38" s="12">
        <f t="shared" si="16"/>
        <v>0</v>
      </c>
      <c r="R38" s="12">
        <f t="shared" si="16"/>
        <v>0</v>
      </c>
      <c r="S38" s="12">
        <f t="shared" si="16"/>
        <v>0</v>
      </c>
      <c r="T38" s="12">
        <f t="shared" si="16"/>
        <v>0</v>
      </c>
      <c r="U38" s="12">
        <f t="shared" si="16"/>
        <v>0</v>
      </c>
      <c r="V38" s="12">
        <f t="shared" si="16"/>
        <v>0</v>
      </c>
      <c r="W38" s="12">
        <f t="shared" si="16"/>
        <v>0</v>
      </c>
      <c r="X38" s="12">
        <f t="shared" si="16"/>
        <v>0</v>
      </c>
      <c r="Y38" s="12">
        <f t="shared" si="16"/>
        <v>0</v>
      </c>
      <c r="Z38" s="12">
        <f t="shared" si="16"/>
        <v>0</v>
      </c>
      <c r="AA38" s="12">
        <f t="shared" si="16"/>
        <v>0</v>
      </c>
      <c r="AB38" s="12">
        <f t="shared" si="16"/>
        <v>0</v>
      </c>
      <c r="AC38" s="12">
        <f t="shared" si="16"/>
        <v>0</v>
      </c>
      <c r="AD38" s="12">
        <f t="shared" si="16"/>
        <v>0</v>
      </c>
      <c r="AE38" s="12">
        <f t="shared" si="16"/>
        <v>0</v>
      </c>
      <c r="AF38" s="12">
        <f t="shared" si="16"/>
        <v>0</v>
      </c>
      <c r="AG38" s="12">
        <f t="shared" si="16"/>
        <v>0</v>
      </c>
      <c r="AH38" s="12">
        <f t="shared" si="16"/>
        <v>0</v>
      </c>
      <c r="AI38" s="12">
        <f t="shared" si="16"/>
        <v>0</v>
      </c>
      <c r="AJ38" s="12">
        <f t="shared" si="16"/>
        <v>0</v>
      </c>
      <c r="AK38" s="12">
        <f t="shared" si="16"/>
        <v>0</v>
      </c>
      <c r="AL38" s="12">
        <f t="shared" si="16"/>
        <v>0</v>
      </c>
      <c r="AM38" s="12">
        <f t="shared" si="16"/>
        <v>2028.5084895756154</v>
      </c>
      <c r="AN38" s="12">
        <f t="shared" si="16"/>
        <v>2151.5314186805472</v>
      </c>
      <c r="AO38" s="12">
        <f t="shared" si="16"/>
        <v>2416.2583215342456</v>
      </c>
      <c r="AP38" s="12">
        <f t="shared" si="16"/>
        <v>2440.7612007254061</v>
      </c>
      <c r="AQ38" s="12">
        <f t="shared" si="16"/>
        <v>2357.0109597271212</v>
      </c>
      <c r="AR38" s="12">
        <f t="shared" si="16"/>
        <v>2204.677993045475</v>
      </c>
      <c r="AS38" s="12">
        <f t="shared" si="16"/>
        <v>2017.6657312438333</v>
      </c>
      <c r="AT38" s="12">
        <f t="shared" si="16"/>
        <v>1775.2196952732193</v>
      </c>
      <c r="AU38" s="12">
        <f t="shared" si="16"/>
        <v>1518.1848784657518</v>
      </c>
      <c r="AV38" s="12">
        <f t="shared" si="16"/>
        <v>1421.1815138082143</v>
      </c>
      <c r="AW38" s="12">
        <f t="shared" si="16"/>
        <v>1367.5197050191753</v>
      </c>
      <c r="AX38" s="12">
        <f t="shared" si="16"/>
        <v>1332.0293076502712</v>
      </c>
      <c r="AY38" s="12">
        <f t="shared" si="16"/>
        <v>1324.2241594520522</v>
      </c>
      <c r="AZ38" s="12">
        <f t="shared" si="16"/>
        <v>1251.8006630136938</v>
      </c>
      <c r="BA38" s="12">
        <f t="shared" si="16"/>
        <v>1144.1088465753417</v>
      </c>
      <c r="BB38" s="12">
        <f t="shared" si="16"/>
        <v>1099.1230316939889</v>
      </c>
      <c r="BC38" s="12">
        <f t="shared" si="16"/>
        <v>1051.7422438356155</v>
      </c>
      <c r="BD38" s="12">
        <f t="shared" si="16"/>
        <v>1043.4954846027347</v>
      </c>
      <c r="BE38" s="12">
        <f t="shared" si="16"/>
        <v>1005.0849636164332</v>
      </c>
      <c r="BF38" s="12">
        <f t="shared" si="16"/>
        <v>955.29472103825015</v>
      </c>
      <c r="BG38" s="12">
        <f t="shared" si="16"/>
        <v>890.63796821917776</v>
      </c>
      <c r="BH38" s="12">
        <f t="shared" si="16"/>
        <v>823.67836212393593</v>
      </c>
      <c r="BI38" s="12">
        <f t="shared" si="16"/>
        <v>804.70600216904097</v>
      </c>
      <c r="BJ38" s="12">
        <f t="shared" si="16"/>
        <v>760.83843762294714</v>
      </c>
      <c r="BK38" s="12"/>
    </row>
    <row r="39" spans="1:63" ht="13.8">
      <c r="A39" s="2" t="s">
        <v>22</v>
      </c>
      <c r="B39" s="2" t="s">
        <v>7</v>
      </c>
      <c r="W39" s="4"/>
      <c r="X39" s="4"/>
      <c r="Y39" s="4"/>
      <c r="Z39" s="4"/>
      <c r="AA39" s="4"/>
      <c r="AB39" s="4"/>
      <c r="AC39" s="4"/>
      <c r="AD39" s="2">
        <v>433.98360655737702</v>
      </c>
      <c r="AE39" s="2">
        <v>411.71232876712298</v>
      </c>
      <c r="AF39" s="2">
        <v>406.86336986301302</v>
      </c>
      <c r="AG39" s="2">
        <v>421.60746849315001</v>
      </c>
      <c r="AH39" s="4">
        <v>452.77519999999998</v>
      </c>
      <c r="AI39" s="4">
        <v>520.5847</v>
      </c>
      <c r="AJ39" s="2">
        <v>524.52361917808196</v>
      </c>
      <c r="AK39" s="2">
        <v>611.70022465753402</v>
      </c>
      <c r="AL39" s="2">
        <v>716.85665846994505</v>
      </c>
      <c r="AM39" s="2">
        <v>811.26243013698604</v>
      </c>
      <c r="AN39" s="2">
        <v>959.97795616438304</v>
      </c>
      <c r="AO39" s="2">
        <v>1060.29608767123</v>
      </c>
      <c r="AP39" s="2">
        <v>1226.3949098360599</v>
      </c>
      <c r="AQ39" s="2">
        <v>1269.12454246575</v>
      </c>
      <c r="AR39" s="2">
        <v>1339.1006630136901</v>
      </c>
      <c r="AS39" s="2">
        <v>1388.07316164383</v>
      </c>
      <c r="AT39" s="2">
        <v>1345.4208169398901</v>
      </c>
      <c r="AU39" s="2">
        <v>1455.1509589041</v>
      </c>
      <c r="AV39" s="2">
        <v>1525.1986602739701</v>
      </c>
      <c r="AW39" s="2">
        <v>1552.9369863013601</v>
      </c>
      <c r="AX39" s="2">
        <v>1514.47540983606</v>
      </c>
      <c r="AY39" s="2">
        <v>1572.89863013698</v>
      </c>
      <c r="AZ39" s="2">
        <v>1632.0767123287601</v>
      </c>
      <c r="BA39" s="2">
        <v>1653.0547945205401</v>
      </c>
      <c r="BB39" s="2">
        <v>1595.19945355191</v>
      </c>
      <c r="BC39" s="2">
        <v>1776.81203600911</v>
      </c>
      <c r="BD39" s="2">
        <v>1863.0250268493101</v>
      </c>
      <c r="BE39" s="4">
        <v>1862.9870000000001</v>
      </c>
      <c r="BF39" s="2">
        <v>1756.8004768558501</v>
      </c>
      <c r="BG39" s="2">
        <v>1760.5886870018401</v>
      </c>
      <c r="BH39" s="2">
        <v>1726.51431231011</v>
      </c>
      <c r="BI39" s="2">
        <v>1854.43215721871</v>
      </c>
      <c r="BJ39" s="2">
        <v>1800.03273509005</v>
      </c>
      <c r="BK39" s="2">
        <v>2046.61015901527</v>
      </c>
    </row>
    <row r="40" spans="1:63" ht="13.8">
      <c r="A40" s="2" t="s">
        <v>22</v>
      </c>
      <c r="B40" s="6" t="s">
        <v>12</v>
      </c>
      <c r="C40" s="6">
        <v>1.17E-2</v>
      </c>
      <c r="D40" s="6">
        <v>1.17E-2</v>
      </c>
      <c r="E40" s="6">
        <v>1.17E-2</v>
      </c>
      <c r="F40" s="6">
        <v>1.17E-2</v>
      </c>
      <c r="G40" s="6">
        <v>1.17E-2</v>
      </c>
      <c r="H40" s="6">
        <v>1.17E-2</v>
      </c>
      <c r="I40" s="6">
        <v>1.17E-2</v>
      </c>
      <c r="J40" s="6">
        <v>1.17E-2</v>
      </c>
      <c r="K40" s="6">
        <v>1.17E-2</v>
      </c>
      <c r="L40" s="6">
        <v>1.17E-2</v>
      </c>
      <c r="M40" s="6">
        <v>1.17E-2</v>
      </c>
      <c r="N40" s="6">
        <v>1.17E-2</v>
      </c>
      <c r="O40" s="6">
        <v>1.17E-2</v>
      </c>
      <c r="P40" s="6">
        <v>1.17E-2</v>
      </c>
      <c r="Q40" s="6">
        <v>1.17E-2</v>
      </c>
      <c r="R40" s="6">
        <v>1.17E-2</v>
      </c>
      <c r="S40" s="6">
        <v>1.17E-2</v>
      </c>
      <c r="T40" s="6">
        <v>1.17E-2</v>
      </c>
      <c r="U40" s="6">
        <v>1.17E-2</v>
      </c>
      <c r="V40" s="6">
        <v>1.17E-2</v>
      </c>
      <c r="W40" s="6">
        <v>1.17E-2</v>
      </c>
      <c r="X40" s="6">
        <v>1.17E-2</v>
      </c>
      <c r="Y40" s="6">
        <v>1.17E-2</v>
      </c>
      <c r="Z40" s="6">
        <v>1.17E-2</v>
      </c>
      <c r="AA40" s="6">
        <v>1.17E-2</v>
      </c>
      <c r="AB40" s="6">
        <v>1.17E-2</v>
      </c>
      <c r="AC40" s="6">
        <v>1.17E-2</v>
      </c>
      <c r="AD40" s="6">
        <v>1.17E-2</v>
      </c>
      <c r="AE40" s="6">
        <v>1.17E-2</v>
      </c>
      <c r="AF40" s="6">
        <v>1.17E-2</v>
      </c>
      <c r="AG40" s="6">
        <v>1.17E-2</v>
      </c>
      <c r="AH40" s="6">
        <v>1.17E-2</v>
      </c>
      <c r="AI40" s="6">
        <v>1.17E-2</v>
      </c>
      <c r="AJ40" s="6">
        <v>1.17E-2</v>
      </c>
      <c r="AK40" s="6">
        <v>1.17E-2</v>
      </c>
      <c r="AL40" s="6">
        <v>1.17E-2</v>
      </c>
      <c r="AM40" s="6">
        <v>1.17E-2</v>
      </c>
      <c r="AN40" s="6">
        <v>1.17E-2</v>
      </c>
      <c r="AO40" s="6">
        <v>1.17E-2</v>
      </c>
      <c r="AP40" s="6">
        <v>1.17E-2</v>
      </c>
      <c r="AQ40" s="6">
        <v>1.17E-2</v>
      </c>
      <c r="AR40" s="6">
        <v>1.17E-2</v>
      </c>
      <c r="AS40" s="6">
        <v>1.17E-2</v>
      </c>
      <c r="AT40" s="6">
        <v>1.17E-2</v>
      </c>
      <c r="AU40" s="6">
        <v>1.17E-2</v>
      </c>
      <c r="AV40" s="6">
        <v>1.17E-2</v>
      </c>
      <c r="AW40" s="6">
        <v>1.17E-2</v>
      </c>
      <c r="AX40" s="6">
        <v>1.12E-2</v>
      </c>
      <c r="AY40" s="6">
        <v>1.17E-2</v>
      </c>
      <c r="AZ40" s="6">
        <v>1.17E-2</v>
      </c>
      <c r="BA40" s="6">
        <v>1.17E-2</v>
      </c>
      <c r="BB40" s="6">
        <v>1.17E-2</v>
      </c>
      <c r="BC40" s="6">
        <v>1.17E-2</v>
      </c>
      <c r="BD40" s="6">
        <v>1.17E-2</v>
      </c>
      <c r="BE40" s="6">
        <v>1.17E-2</v>
      </c>
      <c r="BF40" s="6">
        <v>1.17E-2</v>
      </c>
      <c r="BG40" s="6">
        <v>1.17E-2</v>
      </c>
      <c r="BH40" s="6">
        <v>1.2149999999999999E-2</v>
      </c>
      <c r="BI40" s="6">
        <v>1.0999999999999999E-2</v>
      </c>
      <c r="BJ40" s="6">
        <v>1.18E-2</v>
      </c>
      <c r="BK40" s="6"/>
    </row>
    <row r="41" spans="1:63" ht="13.8">
      <c r="A41" s="12" t="s">
        <v>22</v>
      </c>
      <c r="B41" s="12" t="s">
        <v>18</v>
      </c>
      <c r="C41" s="12">
        <f t="shared" ref="C41:BJ41" si="17">C39*C40</f>
        <v>0</v>
      </c>
      <c r="D41" s="12">
        <f t="shared" si="17"/>
        <v>0</v>
      </c>
      <c r="E41" s="12">
        <f t="shared" si="17"/>
        <v>0</v>
      </c>
      <c r="F41" s="12">
        <f t="shared" si="17"/>
        <v>0</v>
      </c>
      <c r="G41" s="12">
        <f t="shared" si="17"/>
        <v>0</v>
      </c>
      <c r="H41" s="12">
        <f t="shared" si="17"/>
        <v>0</v>
      </c>
      <c r="I41" s="12">
        <f t="shared" si="17"/>
        <v>0</v>
      </c>
      <c r="J41" s="12">
        <f t="shared" si="17"/>
        <v>0</v>
      </c>
      <c r="K41" s="12">
        <f t="shared" si="17"/>
        <v>0</v>
      </c>
      <c r="L41" s="12">
        <f t="shared" si="17"/>
        <v>0</v>
      </c>
      <c r="M41" s="12">
        <f t="shared" si="17"/>
        <v>0</v>
      </c>
      <c r="N41" s="12">
        <f t="shared" si="17"/>
        <v>0</v>
      </c>
      <c r="O41" s="12">
        <f t="shared" si="17"/>
        <v>0</v>
      </c>
      <c r="P41" s="12">
        <f t="shared" si="17"/>
        <v>0</v>
      </c>
      <c r="Q41" s="12">
        <f t="shared" si="17"/>
        <v>0</v>
      </c>
      <c r="R41" s="12">
        <f t="shared" si="17"/>
        <v>0</v>
      </c>
      <c r="S41" s="12">
        <f t="shared" si="17"/>
        <v>0</v>
      </c>
      <c r="T41" s="12">
        <f t="shared" si="17"/>
        <v>0</v>
      </c>
      <c r="U41" s="12">
        <f t="shared" si="17"/>
        <v>0</v>
      </c>
      <c r="V41" s="12">
        <f t="shared" si="17"/>
        <v>0</v>
      </c>
      <c r="W41" s="12">
        <f t="shared" si="17"/>
        <v>0</v>
      </c>
      <c r="X41" s="12">
        <f t="shared" si="17"/>
        <v>0</v>
      </c>
      <c r="Y41" s="12">
        <f t="shared" si="17"/>
        <v>0</v>
      </c>
      <c r="Z41" s="12">
        <f t="shared" si="17"/>
        <v>0</v>
      </c>
      <c r="AA41" s="12">
        <f t="shared" si="17"/>
        <v>0</v>
      </c>
      <c r="AB41" s="12">
        <f t="shared" si="17"/>
        <v>0</v>
      </c>
      <c r="AC41" s="12">
        <f t="shared" si="17"/>
        <v>0</v>
      </c>
      <c r="AD41" s="12">
        <f t="shared" si="17"/>
        <v>5.0776081967213109</v>
      </c>
      <c r="AE41" s="12">
        <f t="shared" si="17"/>
        <v>4.8170342465753393</v>
      </c>
      <c r="AF41" s="12">
        <f t="shared" si="17"/>
        <v>4.7603014273972528</v>
      </c>
      <c r="AG41" s="12">
        <f t="shared" si="17"/>
        <v>4.9328073813698552</v>
      </c>
      <c r="AH41" s="12">
        <f t="shared" si="17"/>
        <v>5.2974698399999998</v>
      </c>
      <c r="AI41" s="12">
        <f t="shared" si="17"/>
        <v>6.0908409900000002</v>
      </c>
      <c r="AJ41" s="12">
        <f t="shared" si="17"/>
        <v>6.1369263443835589</v>
      </c>
      <c r="AK41" s="12">
        <f t="shared" si="17"/>
        <v>7.1568926284931482</v>
      </c>
      <c r="AL41" s="12">
        <f t="shared" si="17"/>
        <v>8.3872229040983566</v>
      </c>
      <c r="AM41" s="12">
        <f t="shared" si="17"/>
        <v>9.4917704326027366</v>
      </c>
      <c r="AN41" s="12">
        <f t="shared" si="17"/>
        <v>11.231742087123282</v>
      </c>
      <c r="AO41" s="12">
        <f t="shared" si="17"/>
        <v>12.405464225753391</v>
      </c>
      <c r="AP41" s="12">
        <f t="shared" si="17"/>
        <v>14.348820445081902</v>
      </c>
      <c r="AQ41" s="12">
        <f t="shared" si="17"/>
        <v>14.848757146849275</v>
      </c>
      <c r="AR41" s="12">
        <f t="shared" si="17"/>
        <v>15.667477757260174</v>
      </c>
      <c r="AS41" s="12">
        <f t="shared" si="17"/>
        <v>16.24045599123281</v>
      </c>
      <c r="AT41" s="12">
        <f t="shared" si="17"/>
        <v>15.741423558196715</v>
      </c>
      <c r="AU41" s="12">
        <f t="shared" si="17"/>
        <v>17.025266219177972</v>
      </c>
      <c r="AV41" s="12">
        <f t="shared" si="17"/>
        <v>17.844824325205451</v>
      </c>
      <c r="AW41" s="12">
        <f t="shared" si="17"/>
        <v>18.169362739725912</v>
      </c>
      <c r="AX41" s="12">
        <f t="shared" si="17"/>
        <v>16.962124590163871</v>
      </c>
      <c r="AY41" s="12">
        <f t="shared" si="17"/>
        <v>18.402913972602668</v>
      </c>
      <c r="AZ41" s="12">
        <f t="shared" si="17"/>
        <v>19.095297534246495</v>
      </c>
      <c r="BA41" s="12">
        <f t="shared" si="17"/>
        <v>19.340741095890319</v>
      </c>
      <c r="BB41" s="12">
        <f t="shared" si="17"/>
        <v>18.663833606557347</v>
      </c>
      <c r="BC41" s="12">
        <f t="shared" si="17"/>
        <v>20.788700821306588</v>
      </c>
      <c r="BD41" s="12">
        <f t="shared" si="17"/>
        <v>21.797392814136927</v>
      </c>
      <c r="BE41" s="12">
        <f t="shared" si="17"/>
        <v>21.796947900000003</v>
      </c>
      <c r="BF41" s="12">
        <f t="shared" si="17"/>
        <v>20.554565579213445</v>
      </c>
      <c r="BG41" s="12">
        <f t="shared" si="17"/>
        <v>20.598887637921528</v>
      </c>
      <c r="BH41" s="12">
        <f t="shared" si="17"/>
        <v>20.977148894567836</v>
      </c>
      <c r="BI41" s="12">
        <f t="shared" si="17"/>
        <v>20.398753729405808</v>
      </c>
      <c r="BJ41" s="12">
        <f t="shared" si="17"/>
        <v>21.24038627406259</v>
      </c>
      <c r="BK41" s="12"/>
    </row>
    <row r="42" spans="1:63" ht="13.8">
      <c r="A42" s="2" t="s">
        <v>23</v>
      </c>
      <c r="B42" s="2" t="s">
        <v>7</v>
      </c>
      <c r="C42" s="4"/>
      <c r="D42" s="4"/>
      <c r="E42" s="4"/>
      <c r="F42" s="4"/>
      <c r="G42" s="4"/>
      <c r="H42" s="4"/>
      <c r="I42" s="4"/>
      <c r="J42" s="4"/>
      <c r="K42" s="2">
        <v>2053.8465753424598</v>
      </c>
      <c r="L42" s="2">
        <v>2255.1013698630099</v>
      </c>
      <c r="M42" s="2">
        <v>1783.0602739726</v>
      </c>
      <c r="N42" s="2">
        <v>2067.0491803278601</v>
      </c>
      <c r="O42" s="2">
        <v>2084.94246575342</v>
      </c>
      <c r="P42" s="2">
        <v>1896.97808219178</v>
      </c>
      <c r="Q42" s="2">
        <v>2301.9095890410899</v>
      </c>
      <c r="R42" s="2">
        <v>2054.8333333333298</v>
      </c>
      <c r="S42" s="2">
        <v>1433.19726027397</v>
      </c>
      <c r="T42" s="2">
        <v>1294.9808219178001</v>
      </c>
      <c r="U42" s="2">
        <v>1241.1506849315001</v>
      </c>
      <c r="V42" s="2">
        <v>1387.8333333333301</v>
      </c>
      <c r="W42" s="2">
        <v>1494.7917808219099</v>
      </c>
      <c r="X42" s="2">
        <v>1467.0246575342401</v>
      </c>
      <c r="Y42" s="2">
        <v>1340.6958904109499</v>
      </c>
      <c r="Z42" s="2">
        <v>1450.05464480874</v>
      </c>
      <c r="AA42" s="2">
        <v>1715.9506849315001</v>
      </c>
      <c r="AB42" s="2">
        <v>1809.69863013698</v>
      </c>
      <c r="AC42" s="2">
        <v>1891.77808219178</v>
      </c>
      <c r="AD42" s="2">
        <v>1882.39344262295</v>
      </c>
      <c r="AE42" s="2">
        <v>1909.50136986301</v>
      </c>
      <c r="AF42" s="2">
        <v>1899.9638356164301</v>
      </c>
      <c r="AG42" s="2">
        <v>1932.0178082191701</v>
      </c>
      <c r="AH42" s="2">
        <v>2145.8934426229498</v>
      </c>
      <c r="AI42" s="4">
        <v>2281.806</v>
      </c>
      <c r="AJ42" s="2">
        <v>2114.6334931506799</v>
      </c>
      <c r="AK42" s="2">
        <v>1945.9013698630099</v>
      </c>
      <c r="AL42" s="2">
        <v>2038.7950819672101</v>
      </c>
      <c r="AM42" s="4">
        <v>2082.2739999999999</v>
      </c>
      <c r="AN42" s="2">
        <v>1965.7753424657501</v>
      </c>
      <c r="AO42" s="2">
        <v>2210.7617452054701</v>
      </c>
      <c r="AP42" s="2">
        <v>2392.99180327868</v>
      </c>
      <c r="AQ42" s="2">
        <v>2469.1045753424601</v>
      </c>
      <c r="AR42" s="2">
        <v>2325.5149150684902</v>
      </c>
      <c r="AS42" s="2">
        <v>2207.0639150684901</v>
      </c>
      <c r="AT42" s="2">
        <v>2165.43989071038</v>
      </c>
      <c r="AU42" s="2">
        <v>2208.3112876712298</v>
      </c>
      <c r="AV42" s="2">
        <v>2408.0273972602699</v>
      </c>
      <c r="AW42" s="2">
        <v>2473.7506849315</v>
      </c>
      <c r="AX42" s="2">
        <v>2457.10928961748</v>
      </c>
      <c r="AY42" s="2">
        <v>2307.3178082191698</v>
      </c>
      <c r="AZ42" s="2">
        <v>2347.17808219178</v>
      </c>
      <c r="BA42" s="2">
        <v>2171.16164383561</v>
      </c>
      <c r="BB42" s="2">
        <v>1871.2049180327799</v>
      </c>
      <c r="BC42" s="2">
        <v>1945.8999178082099</v>
      </c>
      <c r="BD42" s="2">
        <v>1909.63522800646</v>
      </c>
      <c r="BE42" s="2">
        <v>1945.6431650460199</v>
      </c>
      <c r="BF42" s="2">
        <v>1774.6299895155701</v>
      </c>
      <c r="BG42" s="2">
        <v>1522.56330410958</v>
      </c>
      <c r="BH42" s="2">
        <v>1291.4845205479401</v>
      </c>
      <c r="BI42" s="2">
        <v>1441.6747474680601</v>
      </c>
      <c r="BJ42" s="2">
        <v>1488.8695716544901</v>
      </c>
      <c r="BK42" s="2">
        <v>1605.41427817369</v>
      </c>
    </row>
    <row r="43" spans="1:63" ht="13.8">
      <c r="A43" s="2" t="s">
        <v>23</v>
      </c>
      <c r="B43" s="6" t="s">
        <v>12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/>
    </row>
    <row r="44" spans="1:63" ht="13.8">
      <c r="A44" s="12" t="s">
        <v>23</v>
      </c>
      <c r="B44" s="12" t="s">
        <v>18</v>
      </c>
      <c r="C44" s="12">
        <f t="shared" ref="C44:BJ44" si="18">C42*C43</f>
        <v>0</v>
      </c>
      <c r="D44" s="12">
        <f t="shared" si="18"/>
        <v>0</v>
      </c>
      <c r="E44" s="12">
        <f t="shared" si="18"/>
        <v>0</v>
      </c>
      <c r="F44" s="12">
        <f t="shared" si="18"/>
        <v>0</v>
      </c>
      <c r="G44" s="12">
        <f t="shared" si="18"/>
        <v>0</v>
      </c>
      <c r="H44" s="12">
        <f t="shared" si="18"/>
        <v>0</v>
      </c>
      <c r="I44" s="12">
        <f t="shared" si="18"/>
        <v>0</v>
      </c>
      <c r="J44" s="12">
        <f t="shared" si="18"/>
        <v>0</v>
      </c>
      <c r="K44" s="12">
        <f t="shared" si="18"/>
        <v>0</v>
      </c>
      <c r="L44" s="12">
        <f t="shared" si="18"/>
        <v>0</v>
      </c>
      <c r="M44" s="12">
        <f t="shared" si="18"/>
        <v>0</v>
      </c>
      <c r="N44" s="12">
        <f t="shared" si="18"/>
        <v>0</v>
      </c>
      <c r="O44" s="12">
        <f t="shared" si="18"/>
        <v>0</v>
      </c>
      <c r="P44" s="12">
        <f t="shared" si="18"/>
        <v>0</v>
      </c>
      <c r="Q44" s="12">
        <f t="shared" si="18"/>
        <v>0</v>
      </c>
      <c r="R44" s="12">
        <f t="shared" si="18"/>
        <v>0</v>
      </c>
      <c r="S44" s="12">
        <f t="shared" si="18"/>
        <v>0</v>
      </c>
      <c r="T44" s="12">
        <f t="shared" si="18"/>
        <v>0</v>
      </c>
      <c r="U44" s="12">
        <f t="shared" si="18"/>
        <v>0</v>
      </c>
      <c r="V44" s="12">
        <f t="shared" si="18"/>
        <v>0</v>
      </c>
      <c r="W44" s="12">
        <f t="shared" si="18"/>
        <v>0</v>
      </c>
      <c r="X44" s="12">
        <f t="shared" si="18"/>
        <v>0</v>
      </c>
      <c r="Y44" s="12">
        <f t="shared" si="18"/>
        <v>0</v>
      </c>
      <c r="Z44" s="12">
        <f t="shared" si="18"/>
        <v>0</v>
      </c>
      <c r="AA44" s="12">
        <f t="shared" si="18"/>
        <v>0</v>
      </c>
      <c r="AB44" s="12">
        <f t="shared" si="18"/>
        <v>0</v>
      </c>
      <c r="AC44" s="12">
        <f t="shared" si="18"/>
        <v>0</v>
      </c>
      <c r="AD44" s="12">
        <f t="shared" si="18"/>
        <v>0</v>
      </c>
      <c r="AE44" s="12">
        <f t="shared" si="18"/>
        <v>0</v>
      </c>
      <c r="AF44" s="12">
        <f t="shared" si="18"/>
        <v>0</v>
      </c>
      <c r="AG44" s="12">
        <f t="shared" si="18"/>
        <v>0</v>
      </c>
      <c r="AH44" s="12">
        <f t="shared" si="18"/>
        <v>0</v>
      </c>
      <c r="AI44" s="12">
        <f t="shared" si="18"/>
        <v>0</v>
      </c>
      <c r="AJ44" s="12">
        <f t="shared" si="18"/>
        <v>0</v>
      </c>
      <c r="AK44" s="12">
        <f t="shared" si="18"/>
        <v>0</v>
      </c>
      <c r="AL44" s="12">
        <f t="shared" si="18"/>
        <v>0</v>
      </c>
      <c r="AM44" s="12">
        <f t="shared" si="18"/>
        <v>0</v>
      </c>
      <c r="AN44" s="12">
        <f t="shared" si="18"/>
        <v>0</v>
      </c>
      <c r="AO44" s="12">
        <f t="shared" si="18"/>
        <v>0</v>
      </c>
      <c r="AP44" s="12">
        <f t="shared" si="18"/>
        <v>0</v>
      </c>
      <c r="AQ44" s="12">
        <f t="shared" si="18"/>
        <v>0</v>
      </c>
      <c r="AR44" s="12">
        <f t="shared" si="18"/>
        <v>0</v>
      </c>
      <c r="AS44" s="12">
        <f t="shared" si="18"/>
        <v>0</v>
      </c>
      <c r="AT44" s="12">
        <f t="shared" si="18"/>
        <v>0</v>
      </c>
      <c r="AU44" s="12">
        <f t="shared" si="18"/>
        <v>0</v>
      </c>
      <c r="AV44" s="12">
        <f t="shared" si="18"/>
        <v>0</v>
      </c>
      <c r="AW44" s="12">
        <f t="shared" si="18"/>
        <v>0</v>
      </c>
      <c r="AX44" s="12">
        <f t="shared" si="18"/>
        <v>0</v>
      </c>
      <c r="AY44" s="12">
        <f t="shared" si="18"/>
        <v>0</v>
      </c>
      <c r="AZ44" s="12">
        <f t="shared" si="18"/>
        <v>0</v>
      </c>
      <c r="BA44" s="12">
        <f t="shared" si="18"/>
        <v>0</v>
      </c>
      <c r="BB44" s="12">
        <f t="shared" si="18"/>
        <v>0</v>
      </c>
      <c r="BC44" s="12">
        <f t="shared" si="18"/>
        <v>0</v>
      </c>
      <c r="BD44" s="12">
        <f t="shared" si="18"/>
        <v>0</v>
      </c>
      <c r="BE44" s="12">
        <f t="shared" si="18"/>
        <v>0</v>
      </c>
      <c r="BF44" s="12">
        <f t="shared" si="18"/>
        <v>0</v>
      </c>
      <c r="BG44" s="12">
        <f t="shared" si="18"/>
        <v>0</v>
      </c>
      <c r="BH44" s="12">
        <f t="shared" si="18"/>
        <v>0</v>
      </c>
      <c r="BI44" s="12">
        <f t="shared" si="18"/>
        <v>0</v>
      </c>
      <c r="BJ44" s="12">
        <f t="shared" si="18"/>
        <v>0</v>
      </c>
      <c r="BK44" s="12"/>
    </row>
    <row r="45" spans="1:63" ht="13.8">
      <c r="A45" s="2" t="s">
        <v>24</v>
      </c>
      <c r="B45" s="2" t="s">
        <v>7</v>
      </c>
      <c r="C45" s="5"/>
      <c r="D45" s="5"/>
      <c r="E45" s="5"/>
      <c r="F45" s="5"/>
      <c r="G45" s="5"/>
      <c r="H45" s="5"/>
      <c r="I45" s="4"/>
      <c r="J45" s="4"/>
      <c r="K45" s="2">
        <v>31.999986301369798</v>
      </c>
      <c r="L45" s="2">
        <v>34.999969863013597</v>
      </c>
      <c r="M45" s="2">
        <v>188.99987397260199</v>
      </c>
      <c r="N45" s="2">
        <v>278.99997814207597</v>
      </c>
      <c r="O45" s="2">
        <v>280.000032876712</v>
      </c>
      <c r="P45" s="2">
        <v>355.99996438356101</v>
      </c>
      <c r="Q45" s="2">
        <v>403.00007397260202</v>
      </c>
      <c r="R45" s="2">
        <v>485.83333333333297</v>
      </c>
      <c r="S45" s="2">
        <v>474.47671232876701</v>
      </c>
      <c r="T45" s="2">
        <v>492.41643835616401</v>
      </c>
      <c r="U45" s="2">
        <v>614.79452054794501</v>
      </c>
      <c r="V45" s="2">
        <v>707.41256830601003</v>
      </c>
      <c r="W45" s="2">
        <v>772.68493150684901</v>
      </c>
      <c r="X45" s="2">
        <v>841.42465753424597</v>
      </c>
      <c r="Y45" s="4">
        <v>982.42740000000003</v>
      </c>
      <c r="Z45" s="2">
        <v>1113.0027322404301</v>
      </c>
      <c r="AA45" s="2">
        <v>1482.7260273972599</v>
      </c>
      <c r="AB45" s="4">
        <v>1630</v>
      </c>
      <c r="AC45" s="2">
        <v>1870.94794520547</v>
      </c>
      <c r="AD45" s="2">
        <v>2130.2049180327799</v>
      </c>
      <c r="AE45" s="2">
        <v>2279.8794520547899</v>
      </c>
      <c r="AF45" s="2">
        <v>2562.1920109589</v>
      </c>
      <c r="AG45" s="2">
        <v>2756.3791780821898</v>
      </c>
      <c r="AH45" s="2">
        <v>3081.0645737704899</v>
      </c>
      <c r="AI45" s="2">
        <v>3124.0404301369799</v>
      </c>
      <c r="AJ45" s="2">
        <v>2994.8258958904098</v>
      </c>
      <c r="AK45" s="2">
        <v>3001.9097315068402</v>
      </c>
      <c r="AL45" s="2">
        <v>3206.6167240437098</v>
      </c>
      <c r="AM45" s="2">
        <v>3214.69089041095</v>
      </c>
      <c r="AN45" s="2">
        <v>3118.57420821917</v>
      </c>
      <c r="AO45" s="2">
        <v>3029.6809315068399</v>
      </c>
      <c r="AP45" s="2">
        <v>2946.4491693988998</v>
      </c>
      <c r="AQ45" s="2">
        <v>2689.7667616438298</v>
      </c>
      <c r="AR45" s="2">
        <v>2484.94446575342</v>
      </c>
      <c r="AS45" s="2">
        <v>2264.3629424657502</v>
      </c>
      <c r="AT45" s="2">
        <v>2181.9562841530001</v>
      </c>
      <c r="AU45" s="2">
        <v>2067.4246575342399</v>
      </c>
      <c r="AV45" s="2">
        <v>1870.6054794520501</v>
      </c>
      <c r="AW45" s="2">
        <v>1759.5205479452</v>
      </c>
      <c r="AX45" s="2">
        <v>1611.56830601092</v>
      </c>
      <c r="AY45" s="2">
        <v>1532.6712328767101</v>
      </c>
      <c r="AZ45" s="2">
        <v>1562.18356164383</v>
      </c>
      <c r="BA45" s="2">
        <v>1610.27123287671</v>
      </c>
      <c r="BB45" s="2">
        <v>1647.97540983606</v>
      </c>
      <c r="BC45" s="2">
        <v>1617.5295068493101</v>
      </c>
      <c r="BD45" s="2">
        <v>1516.8033424657499</v>
      </c>
      <c r="BE45" s="2">
        <v>1437.1357534246499</v>
      </c>
      <c r="BF45" s="2">
        <v>1713.0454098360599</v>
      </c>
      <c r="BG45" s="2">
        <v>1775.8134794520499</v>
      </c>
      <c r="BH45" s="2">
        <v>1704.2970410958901</v>
      </c>
      <c r="BI45" s="2">
        <v>1814.48405479452</v>
      </c>
      <c r="BJ45" s="2">
        <v>1790.5108672404299</v>
      </c>
      <c r="BK45" s="2">
        <v>1858.49840734246</v>
      </c>
    </row>
    <row r="46" spans="1:63" ht="14.4">
      <c r="A46" s="2" t="s">
        <v>24</v>
      </c>
      <c r="B46" s="6" t="s">
        <v>12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/>
    </row>
    <row r="47" spans="1:63" ht="13.8">
      <c r="A47" s="12" t="s">
        <v>24</v>
      </c>
      <c r="B47" s="12" t="s">
        <v>18</v>
      </c>
      <c r="C47" s="12">
        <f t="shared" ref="C47:BJ47" si="19">C45*C46</f>
        <v>0</v>
      </c>
      <c r="D47" s="12">
        <f t="shared" si="19"/>
        <v>0</v>
      </c>
      <c r="E47" s="12">
        <f t="shared" si="19"/>
        <v>0</v>
      </c>
      <c r="F47" s="12">
        <f t="shared" si="19"/>
        <v>0</v>
      </c>
      <c r="G47" s="12">
        <f t="shared" si="19"/>
        <v>0</v>
      </c>
      <c r="H47" s="12">
        <f t="shared" si="19"/>
        <v>0</v>
      </c>
      <c r="I47" s="12">
        <f t="shared" si="19"/>
        <v>0</v>
      </c>
      <c r="J47" s="12">
        <f t="shared" si="19"/>
        <v>0</v>
      </c>
      <c r="K47" s="12">
        <f t="shared" si="19"/>
        <v>0</v>
      </c>
      <c r="L47" s="12">
        <f t="shared" si="19"/>
        <v>0</v>
      </c>
      <c r="M47" s="12">
        <f t="shared" si="19"/>
        <v>0</v>
      </c>
      <c r="N47" s="12">
        <f t="shared" si="19"/>
        <v>0</v>
      </c>
      <c r="O47" s="12">
        <f t="shared" si="19"/>
        <v>0</v>
      </c>
      <c r="P47" s="12">
        <f t="shared" si="19"/>
        <v>0</v>
      </c>
      <c r="Q47" s="12">
        <f t="shared" si="19"/>
        <v>0</v>
      </c>
      <c r="R47" s="12">
        <f t="shared" si="19"/>
        <v>0</v>
      </c>
      <c r="S47" s="12">
        <f t="shared" si="19"/>
        <v>0</v>
      </c>
      <c r="T47" s="12">
        <f t="shared" si="19"/>
        <v>0</v>
      </c>
      <c r="U47" s="12">
        <f t="shared" si="19"/>
        <v>0</v>
      </c>
      <c r="V47" s="12">
        <f t="shared" si="19"/>
        <v>0</v>
      </c>
      <c r="W47" s="12">
        <f t="shared" si="19"/>
        <v>0</v>
      </c>
      <c r="X47" s="12">
        <f t="shared" si="19"/>
        <v>0</v>
      </c>
      <c r="Y47" s="12">
        <f t="shared" si="19"/>
        <v>0</v>
      </c>
      <c r="Z47" s="12">
        <f t="shared" si="19"/>
        <v>0</v>
      </c>
      <c r="AA47" s="12">
        <f t="shared" si="19"/>
        <v>0</v>
      </c>
      <c r="AB47" s="12">
        <f t="shared" si="19"/>
        <v>0</v>
      </c>
      <c r="AC47" s="12">
        <f t="shared" si="19"/>
        <v>0</v>
      </c>
      <c r="AD47" s="12">
        <f t="shared" si="19"/>
        <v>0</v>
      </c>
      <c r="AE47" s="12">
        <f t="shared" si="19"/>
        <v>0</v>
      </c>
      <c r="AF47" s="12">
        <f t="shared" si="19"/>
        <v>0</v>
      </c>
      <c r="AG47" s="12">
        <f t="shared" si="19"/>
        <v>0</v>
      </c>
      <c r="AH47" s="12">
        <f t="shared" si="19"/>
        <v>0</v>
      </c>
      <c r="AI47" s="12">
        <f t="shared" si="19"/>
        <v>0</v>
      </c>
      <c r="AJ47" s="12">
        <f t="shared" si="19"/>
        <v>0</v>
      </c>
      <c r="AK47" s="12">
        <f t="shared" si="19"/>
        <v>0</v>
      </c>
      <c r="AL47" s="12">
        <f t="shared" si="19"/>
        <v>0</v>
      </c>
      <c r="AM47" s="12">
        <f t="shared" si="19"/>
        <v>0</v>
      </c>
      <c r="AN47" s="12">
        <f t="shared" si="19"/>
        <v>0</v>
      </c>
      <c r="AO47" s="12">
        <f t="shared" si="19"/>
        <v>0</v>
      </c>
      <c r="AP47" s="12">
        <f t="shared" si="19"/>
        <v>0</v>
      </c>
      <c r="AQ47" s="12">
        <f t="shared" si="19"/>
        <v>0</v>
      </c>
      <c r="AR47" s="12">
        <f t="shared" si="19"/>
        <v>0</v>
      </c>
      <c r="AS47" s="12">
        <f t="shared" si="19"/>
        <v>0</v>
      </c>
      <c r="AT47" s="12">
        <f t="shared" si="19"/>
        <v>0</v>
      </c>
      <c r="AU47" s="12">
        <f t="shared" si="19"/>
        <v>0</v>
      </c>
      <c r="AV47" s="12">
        <f t="shared" si="19"/>
        <v>0</v>
      </c>
      <c r="AW47" s="12">
        <f t="shared" si="19"/>
        <v>0</v>
      </c>
      <c r="AX47" s="12">
        <f t="shared" si="19"/>
        <v>0</v>
      </c>
      <c r="AY47" s="12">
        <f t="shared" si="19"/>
        <v>0</v>
      </c>
      <c r="AZ47" s="12">
        <f t="shared" si="19"/>
        <v>0</v>
      </c>
      <c r="BA47" s="12">
        <f t="shared" si="19"/>
        <v>0</v>
      </c>
      <c r="BB47" s="12">
        <f t="shared" si="19"/>
        <v>0</v>
      </c>
      <c r="BC47" s="12">
        <f t="shared" si="19"/>
        <v>0</v>
      </c>
      <c r="BD47" s="12">
        <f t="shared" si="19"/>
        <v>0</v>
      </c>
      <c r="BE47" s="12">
        <f t="shared" si="19"/>
        <v>0</v>
      </c>
      <c r="BF47" s="12">
        <f t="shared" si="19"/>
        <v>0</v>
      </c>
      <c r="BG47" s="12">
        <f t="shared" si="19"/>
        <v>0</v>
      </c>
      <c r="BH47" s="12">
        <f t="shared" si="19"/>
        <v>0</v>
      </c>
      <c r="BI47" s="12">
        <f t="shared" si="19"/>
        <v>0</v>
      </c>
      <c r="BJ47" s="12">
        <f t="shared" si="19"/>
        <v>0</v>
      </c>
      <c r="BK47" s="12"/>
    </row>
    <row r="48" spans="1:63" ht="13.8">
      <c r="A48" s="2" t="s">
        <v>17</v>
      </c>
      <c r="B48" s="2" t="s">
        <v>7</v>
      </c>
      <c r="C48" s="4"/>
      <c r="D48" s="4"/>
      <c r="E48" s="4"/>
      <c r="F48" s="4"/>
      <c r="G48" s="4"/>
      <c r="H48" s="4"/>
      <c r="I48" s="4"/>
      <c r="J48" s="4"/>
      <c r="K48" s="4">
        <v>162</v>
      </c>
      <c r="L48" s="4">
        <v>169</v>
      </c>
      <c r="M48" s="4">
        <v>165</v>
      </c>
      <c r="N48" s="4">
        <v>108</v>
      </c>
      <c r="O48" s="4">
        <v>194</v>
      </c>
      <c r="P48" s="4">
        <v>131</v>
      </c>
      <c r="Q48" s="4">
        <v>147</v>
      </c>
      <c r="R48" s="4">
        <v>150</v>
      </c>
      <c r="S48" s="4">
        <v>130</v>
      </c>
      <c r="T48" s="4">
        <v>122</v>
      </c>
      <c r="U48" s="2">
        <v>177.005479452054</v>
      </c>
      <c r="V48" s="4">
        <v>204</v>
      </c>
      <c r="W48" s="2">
        <v>231.34246575342399</v>
      </c>
      <c r="X48" s="2">
        <v>282.13698630136901</v>
      </c>
      <c r="Y48" s="2">
        <v>360.05205479452002</v>
      </c>
      <c r="Z48" s="2">
        <v>452.00819672131098</v>
      </c>
      <c r="AA48" s="2">
        <v>454.76712328767098</v>
      </c>
      <c r="AB48" s="2">
        <v>474.63013698630101</v>
      </c>
      <c r="AC48" s="2">
        <v>499.63013698630101</v>
      </c>
      <c r="AD48" s="2">
        <v>535.45081967213105</v>
      </c>
      <c r="AE48" s="2">
        <v>503.939726027397</v>
      </c>
      <c r="AF48" s="4">
        <v>491.75889999999998</v>
      </c>
      <c r="AG48" s="2">
        <v>639.31232876712295</v>
      </c>
      <c r="AH48" s="4">
        <v>691.01639999999998</v>
      </c>
      <c r="AI48" s="4">
        <v>709.78629999999998</v>
      </c>
      <c r="AJ48" s="2">
        <v>729.11780821917796</v>
      </c>
      <c r="AK48" s="2">
        <v>747.81342465753403</v>
      </c>
      <c r="AL48" s="2">
        <v>745.38797814207601</v>
      </c>
      <c r="AM48" s="2">
        <v>739.28493150684903</v>
      </c>
      <c r="AN48" s="2">
        <v>896.63634246575305</v>
      </c>
      <c r="AO48" s="2">
        <v>879.06023561643804</v>
      </c>
      <c r="AP48" s="2">
        <v>987.594330601092</v>
      </c>
      <c r="AQ48" s="2">
        <v>1235.5210876712299</v>
      </c>
      <c r="AR48" s="2">
        <v>1380.90278630136</v>
      </c>
      <c r="AS48" s="2">
        <v>1667.95276986301</v>
      </c>
      <c r="AT48" s="2">
        <v>1950.6945081967201</v>
      </c>
      <c r="AU48" s="2">
        <v>1876.80821917808</v>
      </c>
      <c r="AV48" s="2">
        <v>1908.5205479452</v>
      </c>
      <c r="AW48" s="2">
        <v>1755.61643835616</v>
      </c>
      <c r="AX48" s="2">
        <v>1787.0491803278601</v>
      </c>
      <c r="AY48" s="2">
        <v>1802.6575342465701</v>
      </c>
      <c r="AZ48" s="2">
        <v>1741.61643835616</v>
      </c>
      <c r="BA48" s="4">
        <v>1801.8630000000001</v>
      </c>
      <c r="BB48" s="2">
        <v>1769.61475409836</v>
      </c>
      <c r="BC48" s="2">
        <v>1663.2265306249101</v>
      </c>
      <c r="BD48" s="2">
        <v>1584.9984413612401</v>
      </c>
      <c r="BE48" s="2">
        <v>1434.82737406054</v>
      </c>
      <c r="BF48" s="2">
        <v>1242.93197440319</v>
      </c>
      <c r="BG48" s="2">
        <v>1112.2273575735301</v>
      </c>
      <c r="BH48" s="2">
        <v>1153.1406700686</v>
      </c>
      <c r="BI48" s="2">
        <v>1144.4021468169501</v>
      </c>
      <c r="BJ48" s="2">
        <v>1135.7951564147399</v>
      </c>
      <c r="BK48" s="2">
        <v>1030.81472386152</v>
      </c>
    </row>
    <row r="49" spans="1:63" ht="13.8">
      <c r="A49" s="2" t="s">
        <v>17</v>
      </c>
      <c r="B49" s="6" t="s">
        <v>12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7.2999999999999995E-2</v>
      </c>
      <c r="AM49" s="6">
        <v>0.115</v>
      </c>
      <c r="AN49" s="6">
        <v>7.2999999999999995E-2</v>
      </c>
      <c r="AO49" s="6">
        <v>7.2999999999999995E-2</v>
      </c>
      <c r="AP49" s="6">
        <v>7.2999999999999995E-2</v>
      </c>
      <c r="AQ49" s="6">
        <v>7.2999999999999995E-2</v>
      </c>
      <c r="AR49" s="6">
        <v>7.4999999999999997E-2</v>
      </c>
      <c r="AS49" s="6">
        <v>0.15</v>
      </c>
      <c r="AT49" s="6">
        <v>0.15</v>
      </c>
      <c r="AU49" s="6">
        <v>0.17</v>
      </c>
      <c r="AV49" s="6">
        <v>0.16</v>
      </c>
      <c r="AW49" s="6">
        <v>0.17</v>
      </c>
      <c r="AX49" s="6">
        <v>0.16</v>
      </c>
      <c r="AY49" s="6">
        <v>0.15</v>
      </c>
      <c r="AZ49" s="6">
        <v>0.14499999999999999</v>
      </c>
      <c r="BA49" s="6">
        <v>0.15</v>
      </c>
      <c r="BB49" s="6">
        <v>0.15</v>
      </c>
      <c r="BC49" s="6">
        <v>0.16</v>
      </c>
      <c r="BD49" s="6">
        <v>0.13</v>
      </c>
      <c r="BE49" s="6">
        <v>0.15</v>
      </c>
      <c r="BF49" s="6">
        <v>0.15</v>
      </c>
      <c r="BG49" s="6">
        <v>0.15</v>
      </c>
      <c r="BH49" s="6">
        <v>0.155</v>
      </c>
      <c r="BI49" s="6">
        <v>0.16500000000000001</v>
      </c>
      <c r="BJ49" s="6">
        <v>0.155</v>
      </c>
      <c r="BK49" s="6"/>
    </row>
    <row r="50" spans="1:63" ht="13.8">
      <c r="A50" s="12" t="s">
        <v>17</v>
      </c>
      <c r="B50" s="12" t="s">
        <v>18</v>
      </c>
      <c r="C50" s="12">
        <f t="shared" ref="C50:BJ50" si="20">C48*C49</f>
        <v>0</v>
      </c>
      <c r="D50" s="12">
        <f t="shared" si="20"/>
        <v>0</v>
      </c>
      <c r="E50" s="12">
        <f t="shared" si="20"/>
        <v>0</v>
      </c>
      <c r="F50" s="12">
        <f t="shared" si="20"/>
        <v>0</v>
      </c>
      <c r="G50" s="12">
        <f t="shared" si="20"/>
        <v>0</v>
      </c>
      <c r="H50" s="12">
        <f t="shared" si="20"/>
        <v>0</v>
      </c>
      <c r="I50" s="12">
        <f t="shared" si="20"/>
        <v>0</v>
      </c>
      <c r="J50" s="12">
        <f t="shared" si="20"/>
        <v>0</v>
      </c>
      <c r="K50" s="12">
        <f t="shared" si="20"/>
        <v>0</v>
      </c>
      <c r="L50" s="12">
        <f t="shared" si="20"/>
        <v>0</v>
      </c>
      <c r="M50" s="12">
        <f t="shared" si="20"/>
        <v>0</v>
      </c>
      <c r="N50" s="12">
        <f t="shared" si="20"/>
        <v>0</v>
      </c>
      <c r="O50" s="12">
        <f t="shared" si="20"/>
        <v>0</v>
      </c>
      <c r="P50" s="12">
        <f t="shared" si="20"/>
        <v>0</v>
      </c>
      <c r="Q50" s="12">
        <f t="shared" si="20"/>
        <v>0</v>
      </c>
      <c r="R50" s="12">
        <f t="shared" si="20"/>
        <v>0</v>
      </c>
      <c r="S50" s="12">
        <f t="shared" si="20"/>
        <v>0</v>
      </c>
      <c r="T50" s="12">
        <f t="shared" si="20"/>
        <v>0</v>
      </c>
      <c r="U50" s="12">
        <f t="shared" si="20"/>
        <v>0</v>
      </c>
      <c r="V50" s="12">
        <f t="shared" si="20"/>
        <v>0</v>
      </c>
      <c r="W50" s="12">
        <f t="shared" si="20"/>
        <v>0</v>
      </c>
      <c r="X50" s="12">
        <f t="shared" si="20"/>
        <v>0</v>
      </c>
      <c r="Y50" s="12">
        <f t="shared" si="20"/>
        <v>0</v>
      </c>
      <c r="Z50" s="12">
        <f t="shared" si="20"/>
        <v>0</v>
      </c>
      <c r="AA50" s="12">
        <f t="shared" si="20"/>
        <v>0</v>
      </c>
      <c r="AB50" s="12">
        <f t="shared" si="20"/>
        <v>0</v>
      </c>
      <c r="AC50" s="12">
        <f t="shared" si="20"/>
        <v>0</v>
      </c>
      <c r="AD50" s="12">
        <f t="shared" si="20"/>
        <v>0</v>
      </c>
      <c r="AE50" s="12">
        <f t="shared" si="20"/>
        <v>0</v>
      </c>
      <c r="AF50" s="12">
        <f t="shared" si="20"/>
        <v>0</v>
      </c>
      <c r="AG50" s="12">
        <f t="shared" si="20"/>
        <v>0</v>
      </c>
      <c r="AH50" s="12">
        <f t="shared" si="20"/>
        <v>0</v>
      </c>
      <c r="AI50" s="12">
        <f t="shared" si="20"/>
        <v>0</v>
      </c>
      <c r="AJ50" s="12">
        <f t="shared" si="20"/>
        <v>0</v>
      </c>
      <c r="AK50" s="12">
        <f t="shared" si="20"/>
        <v>0</v>
      </c>
      <c r="AL50" s="12">
        <f t="shared" si="20"/>
        <v>54.413322404371549</v>
      </c>
      <c r="AM50" s="12">
        <f t="shared" si="20"/>
        <v>85.017767123287641</v>
      </c>
      <c r="AN50" s="12">
        <f t="shared" si="20"/>
        <v>65.454452999999972</v>
      </c>
      <c r="AO50" s="12">
        <f t="shared" si="20"/>
        <v>64.171397199999973</v>
      </c>
      <c r="AP50" s="12">
        <f t="shared" si="20"/>
        <v>72.094386133879709</v>
      </c>
      <c r="AQ50" s="12">
        <f t="shared" si="20"/>
        <v>90.193039399999776</v>
      </c>
      <c r="AR50" s="12">
        <f t="shared" si="20"/>
        <v>103.56770897260201</v>
      </c>
      <c r="AS50" s="12">
        <f t="shared" si="20"/>
        <v>250.19291547945147</v>
      </c>
      <c r="AT50" s="12">
        <f t="shared" si="20"/>
        <v>292.60417622950803</v>
      </c>
      <c r="AU50" s="12">
        <f t="shared" si="20"/>
        <v>319.0573972602736</v>
      </c>
      <c r="AV50" s="12">
        <f t="shared" si="20"/>
        <v>305.363287671232</v>
      </c>
      <c r="AW50" s="12">
        <f t="shared" si="20"/>
        <v>298.45479452054724</v>
      </c>
      <c r="AX50" s="12">
        <f t="shared" si="20"/>
        <v>285.92786885245761</v>
      </c>
      <c r="AY50" s="12">
        <f t="shared" si="20"/>
        <v>270.3986301369855</v>
      </c>
      <c r="AZ50" s="12">
        <f t="shared" si="20"/>
        <v>252.53438356164318</v>
      </c>
      <c r="BA50" s="12">
        <f t="shared" si="20"/>
        <v>270.27945</v>
      </c>
      <c r="BB50" s="12">
        <f t="shared" si="20"/>
        <v>265.442213114754</v>
      </c>
      <c r="BC50" s="12">
        <f t="shared" si="20"/>
        <v>266.11624489998565</v>
      </c>
      <c r="BD50" s="12">
        <f t="shared" si="20"/>
        <v>206.04979737696121</v>
      </c>
      <c r="BE50" s="12">
        <f t="shared" si="20"/>
        <v>215.22410610908099</v>
      </c>
      <c r="BF50" s="12">
        <f t="shared" si="20"/>
        <v>186.43979616047849</v>
      </c>
      <c r="BG50" s="12">
        <f t="shared" si="20"/>
        <v>166.83410363602951</v>
      </c>
      <c r="BH50" s="12">
        <f t="shared" si="20"/>
        <v>178.73680386063299</v>
      </c>
      <c r="BI50" s="12">
        <f t="shared" si="20"/>
        <v>188.82635422479677</v>
      </c>
      <c r="BJ50" s="12">
        <f t="shared" si="20"/>
        <v>176.0482492442847</v>
      </c>
      <c r="BK50" s="12"/>
    </row>
    <row r="51" spans="1:63" ht="13.8">
      <c r="A51" s="2" t="s">
        <v>14</v>
      </c>
      <c r="B51" s="2" t="s">
        <v>7</v>
      </c>
      <c r="C51" s="4"/>
      <c r="D51" s="4"/>
      <c r="E51" s="4"/>
      <c r="F51" s="4"/>
      <c r="G51" s="4"/>
      <c r="H51" s="4"/>
      <c r="I51" s="4"/>
      <c r="J51" s="4"/>
      <c r="K51" s="2">
        <v>3365.9945205479398</v>
      </c>
      <c r="L51" s="2">
        <v>2976.0767123287601</v>
      </c>
      <c r="M51" s="2">
        <v>2345.7315068493099</v>
      </c>
      <c r="N51" s="2">
        <v>2294.2131147540899</v>
      </c>
      <c r="O51" s="2">
        <v>2238.0164383561601</v>
      </c>
      <c r="P51" s="2">
        <v>2164.9452054794501</v>
      </c>
      <c r="Q51" s="2">
        <v>2355.8301369863002</v>
      </c>
      <c r="R51" s="2">
        <v>2168.3387978142</v>
      </c>
      <c r="S51" s="2">
        <v>2101.9808219177999</v>
      </c>
      <c r="T51" s="2">
        <v>1894.9287671232801</v>
      </c>
      <c r="U51" s="2">
        <v>1800.94794520547</v>
      </c>
      <c r="V51" s="2">
        <v>1714.17759562841</v>
      </c>
      <c r="W51" s="2">
        <v>1677.17808219178</v>
      </c>
      <c r="X51" s="2">
        <v>1787.0410958904099</v>
      </c>
      <c r="Y51" s="2">
        <v>1751.9506849315001</v>
      </c>
      <c r="Z51" s="4">
        <v>1903</v>
      </c>
      <c r="AA51" s="2">
        <v>1906.97808219178</v>
      </c>
      <c r="AB51" s="2">
        <v>2136.6712328767098</v>
      </c>
      <c r="AC51" s="2">
        <v>2375.17808219178</v>
      </c>
      <c r="AD51" s="2">
        <v>2333.7650273223999</v>
      </c>
      <c r="AE51" s="2">
        <v>2305.0547945205399</v>
      </c>
      <c r="AF51" s="2">
        <v>2443.1369863013601</v>
      </c>
      <c r="AG51" s="4">
        <v>2752.4</v>
      </c>
      <c r="AH51" s="2">
        <v>2937.6202185792299</v>
      </c>
      <c r="AI51" s="2">
        <v>3182.44109589041</v>
      </c>
      <c r="AJ51" s="4">
        <v>3119.3890000000001</v>
      </c>
      <c r="AK51" s="2">
        <v>2784.8219178082099</v>
      </c>
      <c r="AL51" s="2">
        <v>2893.6202185792299</v>
      </c>
      <c r="AM51" s="2">
        <v>2806.91344109589</v>
      </c>
      <c r="AN51" s="2">
        <v>2435.30801917808</v>
      </c>
      <c r="AO51" s="2">
        <v>2303.4956027397202</v>
      </c>
      <c r="AP51" s="2">
        <v>2563.9085601092802</v>
      </c>
      <c r="AQ51" s="2">
        <v>2839.5498273972598</v>
      </c>
      <c r="AR51" s="2">
        <v>2785.0422931506801</v>
      </c>
      <c r="AS51" s="2">
        <v>2819.7338876712301</v>
      </c>
      <c r="AT51" s="4">
        <v>2510</v>
      </c>
      <c r="AU51" s="4">
        <v>2520</v>
      </c>
      <c r="AV51" s="4">
        <v>2410</v>
      </c>
      <c r="AW51" s="4">
        <v>2500</v>
      </c>
      <c r="AX51" s="4">
        <v>2500</v>
      </c>
      <c r="AY51" s="4">
        <v>2500</v>
      </c>
      <c r="AZ51" s="4">
        <v>2500</v>
      </c>
      <c r="BA51" s="2">
        <v>2489.4739726027301</v>
      </c>
      <c r="BB51" s="2">
        <v>2254.4535519125602</v>
      </c>
      <c r="BC51" s="2">
        <v>1997.40547945205</v>
      </c>
      <c r="BD51" s="2">
        <v>1485.6219178082099</v>
      </c>
      <c r="BE51" s="4">
        <v>877.66849999999999</v>
      </c>
      <c r="BF51" s="2">
        <v>527.06284153005402</v>
      </c>
      <c r="BG51" s="2">
        <v>594.80821917808203</v>
      </c>
      <c r="BH51" s="2">
        <v>723.65753424657498</v>
      </c>
      <c r="BI51" s="2">
        <v>770.50684931506805</v>
      </c>
      <c r="BJ51" s="2">
        <v>863.46994535519104</v>
      </c>
      <c r="BK51" s="2">
        <v>968.36986301369802</v>
      </c>
    </row>
    <row r="52" spans="1:63" ht="13.8">
      <c r="A52" s="2" t="s">
        <v>14</v>
      </c>
      <c r="B52" s="6" t="s">
        <v>12</v>
      </c>
      <c r="C52" s="6">
        <v>0.6</v>
      </c>
      <c r="D52" s="6">
        <v>0.6</v>
      </c>
      <c r="E52" s="6">
        <v>0.6</v>
      </c>
      <c r="F52" s="6">
        <v>0.6</v>
      </c>
      <c r="G52" s="6">
        <v>0.6</v>
      </c>
      <c r="H52" s="6">
        <v>0.6</v>
      </c>
      <c r="I52" s="6">
        <v>0.6</v>
      </c>
      <c r="J52" s="6">
        <v>0.6</v>
      </c>
      <c r="K52" s="6">
        <v>0.6</v>
      </c>
      <c r="L52" s="6">
        <v>0.6</v>
      </c>
      <c r="M52" s="6">
        <v>0.6</v>
      </c>
      <c r="N52" s="6">
        <v>0.6</v>
      </c>
      <c r="O52" s="6">
        <v>0.6</v>
      </c>
      <c r="P52" s="6">
        <v>0.6</v>
      </c>
      <c r="Q52" s="6">
        <v>0.6</v>
      </c>
      <c r="R52" s="6">
        <v>0.6</v>
      </c>
      <c r="S52" s="6">
        <v>0.6</v>
      </c>
      <c r="T52" s="6">
        <v>0.6</v>
      </c>
      <c r="U52" s="6">
        <v>0.6</v>
      </c>
      <c r="V52" s="6">
        <v>0.6</v>
      </c>
      <c r="W52" s="6">
        <v>0.6</v>
      </c>
      <c r="X52" s="6">
        <v>0.6</v>
      </c>
      <c r="Y52" s="6">
        <v>0.6</v>
      </c>
      <c r="Z52" s="6">
        <v>0.6</v>
      </c>
      <c r="AA52" s="6">
        <v>0.6</v>
      </c>
      <c r="AB52" s="6">
        <v>0.6</v>
      </c>
      <c r="AC52" s="6">
        <v>0.6</v>
      </c>
      <c r="AD52" s="6">
        <v>0.6</v>
      </c>
      <c r="AE52" s="6">
        <v>0.6</v>
      </c>
      <c r="AF52" s="6">
        <v>0.6</v>
      </c>
      <c r="AG52" s="6">
        <v>0.6</v>
      </c>
      <c r="AH52" s="6">
        <v>0.6</v>
      </c>
      <c r="AI52" s="6">
        <v>0.6</v>
      </c>
      <c r="AJ52" s="6">
        <v>0.6</v>
      </c>
      <c r="AK52" s="6">
        <v>0.6</v>
      </c>
      <c r="AL52" s="6">
        <v>0.6</v>
      </c>
      <c r="AM52" s="6">
        <v>0.6</v>
      </c>
      <c r="AN52" s="6">
        <v>0.6</v>
      </c>
      <c r="AO52" s="6">
        <v>0.6</v>
      </c>
      <c r="AP52" s="6">
        <v>0.6</v>
      </c>
      <c r="AQ52" s="6">
        <v>0.6</v>
      </c>
      <c r="AR52" s="6">
        <v>0.6</v>
      </c>
      <c r="AS52" s="6">
        <v>0.6</v>
      </c>
      <c r="AT52" s="6">
        <v>0.6</v>
      </c>
      <c r="AU52" s="6">
        <v>0.6</v>
      </c>
      <c r="AV52" s="6">
        <v>0.6</v>
      </c>
      <c r="AW52" s="6">
        <v>0.6</v>
      </c>
      <c r="AX52" s="6">
        <v>0.6</v>
      </c>
      <c r="AY52" s="6">
        <v>0.6</v>
      </c>
      <c r="AZ52" s="6">
        <v>0.6</v>
      </c>
      <c r="BA52" s="6">
        <v>0.6</v>
      </c>
      <c r="BB52" s="6">
        <v>0.6</v>
      </c>
      <c r="BC52" s="6">
        <v>0.6</v>
      </c>
      <c r="BD52" s="6">
        <v>0.6</v>
      </c>
      <c r="BE52" s="6">
        <v>0.6</v>
      </c>
      <c r="BF52" s="6">
        <v>0.6</v>
      </c>
      <c r="BG52" s="6">
        <v>0.6</v>
      </c>
      <c r="BH52" s="6">
        <v>0.6</v>
      </c>
      <c r="BI52" s="6">
        <v>0.6</v>
      </c>
      <c r="BJ52" s="6">
        <v>0.6</v>
      </c>
      <c r="BK52" s="6"/>
    </row>
    <row r="53" spans="1:63" ht="13.8">
      <c r="A53" s="12" t="s">
        <v>14</v>
      </c>
      <c r="B53" s="12" t="s">
        <v>18</v>
      </c>
      <c r="C53" s="12">
        <f t="shared" ref="C53:BJ53" si="21">C51*C52</f>
        <v>0</v>
      </c>
      <c r="D53" s="12">
        <f t="shared" si="21"/>
        <v>0</v>
      </c>
      <c r="E53" s="12">
        <f t="shared" si="21"/>
        <v>0</v>
      </c>
      <c r="F53" s="12">
        <f t="shared" si="21"/>
        <v>0</v>
      </c>
      <c r="G53" s="12">
        <f t="shared" si="21"/>
        <v>0</v>
      </c>
      <c r="H53" s="12">
        <f t="shared" si="21"/>
        <v>0</v>
      </c>
      <c r="I53" s="12">
        <f t="shared" si="21"/>
        <v>0</v>
      </c>
      <c r="J53" s="12">
        <f t="shared" si="21"/>
        <v>0</v>
      </c>
      <c r="K53" s="12">
        <f t="shared" si="21"/>
        <v>2019.5967123287637</v>
      </c>
      <c r="L53" s="12">
        <f t="shared" si="21"/>
        <v>1785.6460273972559</v>
      </c>
      <c r="M53" s="12">
        <f t="shared" si="21"/>
        <v>1407.4389041095858</v>
      </c>
      <c r="N53" s="12">
        <f t="shared" si="21"/>
        <v>1376.5278688524538</v>
      </c>
      <c r="O53" s="12">
        <f t="shared" si="21"/>
        <v>1342.809863013696</v>
      </c>
      <c r="P53" s="12">
        <f t="shared" si="21"/>
        <v>1298.9671232876701</v>
      </c>
      <c r="Q53" s="12">
        <f t="shared" si="21"/>
        <v>1413.49808219178</v>
      </c>
      <c r="R53" s="12">
        <f t="shared" si="21"/>
        <v>1301.0032786885199</v>
      </c>
      <c r="S53" s="12">
        <f t="shared" si="21"/>
        <v>1261.18849315068</v>
      </c>
      <c r="T53" s="12">
        <f t="shared" si="21"/>
        <v>1136.9572602739679</v>
      </c>
      <c r="U53" s="12">
        <f t="shared" si="21"/>
        <v>1080.568767123282</v>
      </c>
      <c r="V53" s="12">
        <f t="shared" si="21"/>
        <v>1028.506557377046</v>
      </c>
      <c r="W53" s="12">
        <f t="shared" si="21"/>
        <v>1006.306849315068</v>
      </c>
      <c r="X53" s="12">
        <f t="shared" si="21"/>
        <v>1072.2246575342458</v>
      </c>
      <c r="Y53" s="12">
        <f t="shared" si="21"/>
        <v>1051.1704109589</v>
      </c>
      <c r="Z53" s="12">
        <f t="shared" si="21"/>
        <v>1141.8</v>
      </c>
      <c r="AA53" s="12">
        <f t="shared" si="21"/>
        <v>1144.186849315068</v>
      </c>
      <c r="AB53" s="12">
        <f t="shared" si="21"/>
        <v>1282.0027397260258</v>
      </c>
      <c r="AC53" s="12">
        <f t="shared" si="21"/>
        <v>1425.1068493150681</v>
      </c>
      <c r="AD53" s="12">
        <f t="shared" si="21"/>
        <v>1400.2590163934399</v>
      </c>
      <c r="AE53" s="12">
        <f t="shared" si="21"/>
        <v>1383.032876712324</v>
      </c>
      <c r="AF53" s="12">
        <f t="shared" si="21"/>
        <v>1465.8821917808161</v>
      </c>
      <c r="AG53" s="12">
        <f t="shared" si="21"/>
        <v>1651.44</v>
      </c>
      <c r="AH53" s="12">
        <f t="shared" si="21"/>
        <v>1762.5721311475379</v>
      </c>
      <c r="AI53" s="12">
        <f t="shared" si="21"/>
        <v>1909.4646575342458</v>
      </c>
      <c r="AJ53" s="12">
        <f t="shared" si="21"/>
        <v>1871.6333999999999</v>
      </c>
      <c r="AK53" s="12">
        <f t="shared" si="21"/>
        <v>1670.893150684926</v>
      </c>
      <c r="AL53" s="12">
        <f t="shared" si="21"/>
        <v>1736.1721311475378</v>
      </c>
      <c r="AM53" s="12">
        <f t="shared" si="21"/>
        <v>1684.148064657534</v>
      </c>
      <c r="AN53" s="12">
        <f t="shared" si="21"/>
        <v>1461.1848115068481</v>
      </c>
      <c r="AO53" s="12">
        <f t="shared" si="21"/>
        <v>1382.0973616438321</v>
      </c>
      <c r="AP53" s="12">
        <f t="shared" si="21"/>
        <v>1538.3451360655681</v>
      </c>
      <c r="AQ53" s="12">
        <f t="shared" si="21"/>
        <v>1703.7298964383558</v>
      </c>
      <c r="AR53" s="12">
        <f t="shared" si="21"/>
        <v>1671.025375890408</v>
      </c>
      <c r="AS53" s="12">
        <f t="shared" si="21"/>
        <v>1691.840332602738</v>
      </c>
      <c r="AT53" s="12">
        <f t="shared" si="21"/>
        <v>1506</v>
      </c>
      <c r="AU53" s="12">
        <f t="shared" si="21"/>
        <v>1512</v>
      </c>
      <c r="AV53" s="12">
        <f t="shared" si="21"/>
        <v>1446</v>
      </c>
      <c r="AW53" s="12">
        <f t="shared" si="21"/>
        <v>1500</v>
      </c>
      <c r="AX53" s="12">
        <f t="shared" si="21"/>
        <v>1500</v>
      </c>
      <c r="AY53" s="12">
        <f t="shared" si="21"/>
        <v>1500</v>
      </c>
      <c r="AZ53" s="12">
        <f t="shared" si="21"/>
        <v>1500</v>
      </c>
      <c r="BA53" s="12">
        <f t="shared" si="21"/>
        <v>1493.684383561638</v>
      </c>
      <c r="BB53" s="12">
        <f t="shared" si="21"/>
        <v>1352.672131147536</v>
      </c>
      <c r="BC53" s="12">
        <f t="shared" si="21"/>
        <v>1198.4432876712299</v>
      </c>
      <c r="BD53" s="12">
        <f t="shared" si="21"/>
        <v>891.37315068492592</v>
      </c>
      <c r="BE53" s="12">
        <f t="shared" si="21"/>
        <v>526.60109999999997</v>
      </c>
      <c r="BF53" s="12">
        <f t="shared" si="21"/>
        <v>316.23770491803242</v>
      </c>
      <c r="BG53" s="12">
        <f t="shared" si="21"/>
        <v>356.88493150684923</v>
      </c>
      <c r="BH53" s="12">
        <f t="shared" si="21"/>
        <v>434.19452054794499</v>
      </c>
      <c r="BI53" s="12">
        <f t="shared" si="21"/>
        <v>462.30410958904082</v>
      </c>
      <c r="BJ53" s="12">
        <f t="shared" si="21"/>
        <v>518.08196721311458</v>
      </c>
      <c r="BK53" s="12"/>
    </row>
    <row r="54" spans="1:63" ht="13.8">
      <c r="A54" s="11" t="s">
        <v>14</v>
      </c>
      <c r="B54" s="11" t="s">
        <v>20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1</v>
      </c>
      <c r="BD54" s="11">
        <v>1</v>
      </c>
      <c r="BE54" s="11">
        <v>1</v>
      </c>
      <c r="BF54" s="11">
        <v>1</v>
      </c>
      <c r="BG54" s="11">
        <v>1</v>
      </c>
      <c r="BH54" s="11">
        <v>1</v>
      </c>
      <c r="BI54" s="11">
        <v>1</v>
      </c>
      <c r="BJ54" s="11">
        <v>1</v>
      </c>
      <c r="BK54" s="11"/>
    </row>
    <row r="55" spans="1:63" ht="13.8">
      <c r="A55" s="2" t="s">
        <v>9</v>
      </c>
      <c r="B55" s="2" t="s">
        <v>7</v>
      </c>
      <c r="C55" s="4"/>
      <c r="D55" s="4"/>
      <c r="E55" s="4"/>
      <c r="F55" s="4"/>
      <c r="G55" s="4"/>
      <c r="H55" s="4"/>
      <c r="I55" s="4"/>
      <c r="J55" s="4"/>
      <c r="K55" s="2">
        <v>570.45205479452</v>
      </c>
      <c r="L55" s="2">
        <v>517.769863013698</v>
      </c>
      <c r="M55" s="2">
        <v>437.95068493150598</v>
      </c>
      <c r="N55" s="2">
        <v>497.08469945355102</v>
      </c>
      <c r="O55" s="2">
        <v>445.03561643835599</v>
      </c>
      <c r="P55" s="4">
        <v>486.98630000000003</v>
      </c>
      <c r="Q55" s="2">
        <v>508.07397260273899</v>
      </c>
      <c r="R55" s="2">
        <v>471.77868852459</v>
      </c>
      <c r="S55" s="2">
        <v>405.21643835616402</v>
      </c>
      <c r="T55" s="2">
        <v>329.87671232876698</v>
      </c>
      <c r="U55" s="2">
        <v>294.945205479452</v>
      </c>
      <c r="V55" s="2">
        <v>401.78688524590098</v>
      </c>
      <c r="W55" s="2">
        <v>301.47945205479402</v>
      </c>
      <c r="X55" s="2">
        <v>307.98904109589</v>
      </c>
      <c r="Y55" s="2">
        <v>293.05205479452002</v>
      </c>
      <c r="Z55" s="2">
        <v>345.93989071038197</v>
      </c>
      <c r="AA55" s="2">
        <v>380.11506849314998</v>
      </c>
      <c r="AB55" s="2">
        <v>406.05205479452002</v>
      </c>
      <c r="AC55" s="2">
        <v>394.74246575342403</v>
      </c>
      <c r="AD55" s="2">
        <v>403.53825136611999</v>
      </c>
      <c r="AE55" s="2">
        <v>420.69863013698603</v>
      </c>
      <c r="AF55" s="2">
        <v>404.58904109589002</v>
      </c>
      <c r="AG55" s="2">
        <v>449.17808219177999</v>
      </c>
      <c r="AH55" s="4">
        <v>487.1721</v>
      </c>
      <c r="AI55" s="2">
        <v>623.27397260273904</v>
      </c>
      <c r="AJ55" s="4">
        <v>658.91780000000006</v>
      </c>
      <c r="AK55" s="2">
        <v>631.36986301369802</v>
      </c>
      <c r="AL55" s="2">
        <v>687.62295081967204</v>
      </c>
      <c r="AM55" s="2">
        <v>680.58904109589002</v>
      </c>
      <c r="AN55" s="2">
        <v>643.780821917808</v>
      </c>
      <c r="AO55" s="2">
        <v>850.671232876712</v>
      </c>
      <c r="AP55" s="4">
        <v>938.37980000000005</v>
      </c>
      <c r="AQ55" s="2">
        <v>958.69863013698603</v>
      </c>
      <c r="AR55" s="2">
        <v>1025.07397260273</v>
      </c>
      <c r="AS55" s="2">
        <v>1065.6712328767101</v>
      </c>
      <c r="AT55" s="2">
        <v>1191.6666666666599</v>
      </c>
      <c r="AU55" s="2">
        <v>1155.5342465753399</v>
      </c>
      <c r="AV55" s="2">
        <v>1296.60273972602</v>
      </c>
      <c r="AW55" s="2">
        <v>1402.12397260273</v>
      </c>
      <c r="AX55" s="2">
        <v>1485.0933551912501</v>
      </c>
      <c r="AY55" s="2">
        <v>1458.71232876712</v>
      </c>
      <c r="AZ55" s="2">
        <v>1424.0410958904099</v>
      </c>
      <c r="BA55" s="2">
        <v>1356.4246575342399</v>
      </c>
      <c r="BB55" s="2">
        <v>1354.94535519125</v>
      </c>
      <c r="BC55" s="2">
        <v>1308.6712328767101</v>
      </c>
      <c r="BD55" s="2">
        <v>1308.3287671232799</v>
      </c>
      <c r="BE55" s="2">
        <v>1231.4438356164301</v>
      </c>
      <c r="BF55" s="2">
        <v>1238.2623420683001</v>
      </c>
      <c r="BG55" s="2">
        <v>1255.5837403616399</v>
      </c>
      <c r="BH55" s="2">
        <v>1269.84128787945</v>
      </c>
      <c r="BI55" s="2">
        <v>1300.31506849315</v>
      </c>
      <c r="BJ55" s="2">
        <v>1293.5008540081899</v>
      </c>
      <c r="BK55" s="2">
        <v>1297.38443658082</v>
      </c>
    </row>
    <row r="56" spans="1:63" ht="13.8">
      <c r="A56" s="2" t="s">
        <v>9</v>
      </c>
      <c r="B56" s="6" t="s">
        <v>12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>
        <f t="shared" ref="AV56:BK56" si="22">AV57/AV55</f>
        <v>3.1547827832481266E-3</v>
      </c>
      <c r="AW56" s="7">
        <f t="shared" si="22"/>
        <v>2.9173597199161354E-3</v>
      </c>
      <c r="AX56" s="7">
        <f t="shared" si="22"/>
        <v>2.7543722996950758E-3</v>
      </c>
      <c r="AY56" s="7">
        <f t="shared" si="22"/>
        <v>2.8041855267359151E-3</v>
      </c>
      <c r="AZ56" s="7">
        <f t="shared" si="22"/>
        <v>2.8724592371699312E-3</v>
      </c>
      <c r="BA56" s="7">
        <f t="shared" si="22"/>
        <v>3.0156485119017707E-3</v>
      </c>
      <c r="BB56" s="7">
        <f t="shared" si="22"/>
        <v>3.0189409368635589E-3</v>
      </c>
      <c r="BC56" s="7">
        <f t="shared" si="22"/>
        <v>3.5310625647682016E-3</v>
      </c>
      <c r="BD56" s="7">
        <f t="shared" si="22"/>
        <v>3.831605729363008E-3</v>
      </c>
      <c r="BE56" s="7">
        <f t="shared" si="22"/>
        <v>3.6729243098089803E-3</v>
      </c>
      <c r="BF56" s="7">
        <f t="shared" si="22"/>
        <v>3.3110915681661356E-3</v>
      </c>
      <c r="BG56" s="7">
        <f t="shared" si="22"/>
        <v>2.9946230419621591E-3</v>
      </c>
      <c r="BH56" s="7">
        <f t="shared" si="22"/>
        <v>2.5255124641249266E-3</v>
      </c>
      <c r="BI56" s="7">
        <f t="shared" si="22"/>
        <v>2.9992730950349246E-3</v>
      </c>
      <c r="BJ56" s="7">
        <f t="shared" si="22"/>
        <v>2.7831446642223915E-3</v>
      </c>
      <c r="BK56" s="7">
        <f t="shared" si="22"/>
        <v>0</v>
      </c>
    </row>
    <row r="57" spans="1:63" ht="14.4">
      <c r="A57" s="12" t="s">
        <v>9</v>
      </c>
      <c r="B57" s="12" t="s">
        <v>18</v>
      </c>
      <c r="C57" s="12">
        <f t="shared" ref="C57:AU57" si="23">C55*C56</f>
        <v>0</v>
      </c>
      <c r="D57" s="12">
        <f t="shared" si="23"/>
        <v>0</v>
      </c>
      <c r="E57" s="12">
        <f t="shared" si="23"/>
        <v>0</v>
      </c>
      <c r="F57" s="12">
        <f t="shared" si="23"/>
        <v>0</v>
      </c>
      <c r="G57" s="12">
        <f t="shared" si="23"/>
        <v>0</v>
      </c>
      <c r="H57" s="12">
        <f t="shared" si="23"/>
        <v>0</v>
      </c>
      <c r="I57" s="12">
        <f t="shared" si="23"/>
        <v>0</v>
      </c>
      <c r="J57" s="12">
        <f t="shared" si="23"/>
        <v>0</v>
      </c>
      <c r="K57" s="12">
        <f t="shared" si="23"/>
        <v>0</v>
      </c>
      <c r="L57" s="12">
        <f t="shared" si="23"/>
        <v>0</v>
      </c>
      <c r="M57" s="12">
        <f t="shared" si="23"/>
        <v>0</v>
      </c>
      <c r="N57" s="12">
        <f t="shared" si="23"/>
        <v>0</v>
      </c>
      <c r="O57" s="12">
        <f t="shared" si="23"/>
        <v>0</v>
      </c>
      <c r="P57" s="12">
        <f t="shared" si="23"/>
        <v>0</v>
      </c>
      <c r="Q57" s="12">
        <f t="shared" si="23"/>
        <v>0</v>
      </c>
      <c r="R57" s="12">
        <f t="shared" si="23"/>
        <v>0</v>
      </c>
      <c r="S57" s="12">
        <f t="shared" si="23"/>
        <v>0</v>
      </c>
      <c r="T57" s="12">
        <f t="shared" si="23"/>
        <v>0</v>
      </c>
      <c r="U57" s="12">
        <f t="shared" si="23"/>
        <v>0</v>
      </c>
      <c r="V57" s="12">
        <f t="shared" si="23"/>
        <v>0</v>
      </c>
      <c r="W57" s="12">
        <f t="shared" si="23"/>
        <v>0</v>
      </c>
      <c r="X57" s="12">
        <f t="shared" si="23"/>
        <v>0</v>
      </c>
      <c r="Y57" s="12">
        <f t="shared" si="23"/>
        <v>0</v>
      </c>
      <c r="Z57" s="12">
        <f t="shared" si="23"/>
        <v>0</v>
      </c>
      <c r="AA57" s="12">
        <f t="shared" si="23"/>
        <v>0</v>
      </c>
      <c r="AB57" s="12">
        <f t="shared" si="23"/>
        <v>0</v>
      </c>
      <c r="AC57" s="12">
        <f t="shared" si="23"/>
        <v>0</v>
      </c>
      <c r="AD57" s="12">
        <f t="shared" si="23"/>
        <v>0</v>
      </c>
      <c r="AE57" s="12">
        <f t="shared" si="23"/>
        <v>0</v>
      </c>
      <c r="AF57" s="12">
        <f t="shared" si="23"/>
        <v>0</v>
      </c>
      <c r="AG57" s="12">
        <f t="shared" si="23"/>
        <v>0</v>
      </c>
      <c r="AH57" s="12">
        <f t="shared" si="23"/>
        <v>0</v>
      </c>
      <c r="AI57" s="12">
        <f t="shared" si="23"/>
        <v>0</v>
      </c>
      <c r="AJ57" s="12">
        <f t="shared" si="23"/>
        <v>0</v>
      </c>
      <c r="AK57" s="12">
        <f t="shared" si="23"/>
        <v>0</v>
      </c>
      <c r="AL57" s="12">
        <f t="shared" si="23"/>
        <v>0</v>
      </c>
      <c r="AM57" s="12">
        <f t="shared" si="23"/>
        <v>0</v>
      </c>
      <c r="AN57" s="12">
        <f t="shared" si="23"/>
        <v>0</v>
      </c>
      <c r="AO57" s="12">
        <f t="shared" si="23"/>
        <v>0</v>
      </c>
      <c r="AP57" s="12">
        <f t="shared" si="23"/>
        <v>0</v>
      </c>
      <c r="AQ57" s="12">
        <f t="shared" si="23"/>
        <v>0</v>
      </c>
      <c r="AR57" s="12">
        <f t="shared" si="23"/>
        <v>0</v>
      </c>
      <c r="AS57" s="12">
        <f t="shared" si="23"/>
        <v>0</v>
      </c>
      <c r="AT57" s="12">
        <f t="shared" si="23"/>
        <v>0</v>
      </c>
      <c r="AU57" s="12">
        <f t="shared" si="23"/>
        <v>0</v>
      </c>
      <c r="AV57" s="11">
        <v>4.0904999999999996</v>
      </c>
      <c r="AW57" s="11">
        <v>4.0904999999999996</v>
      </c>
      <c r="AX57" s="11">
        <v>4.0904999999999996</v>
      </c>
      <c r="AY57" s="11">
        <v>4.0904999999999996</v>
      </c>
      <c r="AZ57" s="11">
        <v>4.0904999999999996</v>
      </c>
      <c r="BA57" s="11">
        <v>4.0904999999999996</v>
      </c>
      <c r="BB57" s="11">
        <v>4.0904999999999996</v>
      </c>
      <c r="BC57" s="22">
        <v>4.6210000000000004</v>
      </c>
      <c r="BD57" s="22">
        <v>5.0129999999999999</v>
      </c>
      <c r="BE57" s="22">
        <v>4.5229999999999997</v>
      </c>
      <c r="BF57" s="22">
        <v>4.0999999999999996</v>
      </c>
      <c r="BG57" s="22">
        <v>3.76</v>
      </c>
      <c r="BH57" s="22">
        <v>3.2069999999999999</v>
      </c>
      <c r="BI57" s="22">
        <v>3.9</v>
      </c>
      <c r="BJ57" s="22">
        <v>3.6</v>
      </c>
      <c r="BK57" s="22"/>
    </row>
    <row r="58" spans="1:63" ht="13.8">
      <c r="A58" s="2" t="s">
        <v>15</v>
      </c>
      <c r="B58" s="2" t="s">
        <v>7</v>
      </c>
      <c r="C58" s="4"/>
      <c r="D58" s="4"/>
      <c r="E58" s="4"/>
      <c r="F58" s="4"/>
      <c r="G58" s="4"/>
      <c r="H58" s="4"/>
      <c r="I58" s="4"/>
      <c r="J58" s="4"/>
      <c r="K58" s="2">
        <v>1096.9013698630099</v>
      </c>
      <c r="L58" s="2">
        <v>1008.8602739726</v>
      </c>
      <c r="M58" s="2">
        <v>982.99726027397196</v>
      </c>
      <c r="N58" s="4">
        <v>1075.26</v>
      </c>
      <c r="O58" s="2">
        <v>1151.8493150684899</v>
      </c>
      <c r="P58" s="2">
        <v>1231.05205479452</v>
      </c>
      <c r="Q58" s="2">
        <v>1224.1671232876699</v>
      </c>
      <c r="R58" s="2">
        <v>1105.90710382513</v>
      </c>
      <c r="S58" s="2">
        <v>1002.03287671232</v>
      </c>
      <c r="T58" s="2">
        <v>986.63013698630095</v>
      </c>
      <c r="U58" s="2">
        <v>961.26027397260202</v>
      </c>
      <c r="V58" s="4">
        <v>647</v>
      </c>
      <c r="W58" s="2">
        <v>1036.0712328767099</v>
      </c>
      <c r="X58" s="4">
        <v>1072</v>
      </c>
      <c r="Y58" s="2">
        <v>1071.3205479451999</v>
      </c>
      <c r="Z58" s="4">
        <v>1045</v>
      </c>
      <c r="AA58" s="2">
        <v>1105.5863013698599</v>
      </c>
      <c r="AB58" s="2">
        <v>1180.0684931506801</v>
      </c>
      <c r="AC58" s="4">
        <v>1170</v>
      </c>
      <c r="AD58" s="2">
        <v>744.95901639344197</v>
      </c>
      <c r="AE58" s="2">
        <v>740.16438356164304</v>
      </c>
      <c r="AF58" s="2">
        <v>746.28767123287605</v>
      </c>
      <c r="AG58" s="2">
        <v>763.39726027397205</v>
      </c>
      <c r="AH58" s="2">
        <v>818.38797814207601</v>
      </c>
      <c r="AI58" s="2">
        <v>849.34246575342399</v>
      </c>
      <c r="AJ58" s="2">
        <v>821.41095890410895</v>
      </c>
      <c r="AK58" s="2">
        <v>756.95890410958896</v>
      </c>
      <c r="AL58" s="2">
        <v>805.58743169398895</v>
      </c>
      <c r="AM58" s="2">
        <v>867.47945205479402</v>
      </c>
      <c r="AN58" s="2">
        <v>975.58904109589002</v>
      </c>
      <c r="AO58" s="2">
        <v>1501.8904109589</v>
      </c>
      <c r="AP58" s="2">
        <v>1579.18579234972</v>
      </c>
      <c r="AQ58" s="2">
        <v>1649.5643835616399</v>
      </c>
      <c r="AR58" s="2">
        <v>1656.0430136986299</v>
      </c>
      <c r="AS58" s="2">
        <v>1668.1155205479399</v>
      </c>
      <c r="AT58" s="4">
        <v>1705</v>
      </c>
      <c r="AU58" s="2">
        <v>1584.87671232876</v>
      </c>
      <c r="AV58" s="4">
        <v>1540</v>
      </c>
      <c r="AW58" s="4">
        <v>1540</v>
      </c>
      <c r="AX58" s="2">
        <v>1532.2431693988999</v>
      </c>
      <c r="AY58" s="2">
        <v>1461.7808219178</v>
      </c>
      <c r="AZ58" s="4">
        <v>1420</v>
      </c>
      <c r="BA58" s="4">
        <v>1429</v>
      </c>
      <c r="BB58" s="2">
        <v>1348.3606557377</v>
      </c>
      <c r="BC58" s="2">
        <v>1301.7534246575301</v>
      </c>
      <c r="BD58" s="2">
        <v>1258.6575342465701</v>
      </c>
      <c r="BE58" s="2">
        <v>1258.9589041095801</v>
      </c>
      <c r="BF58" s="2">
        <v>1122.43169398907</v>
      </c>
      <c r="BG58" s="2">
        <v>1133.9452054794499</v>
      </c>
      <c r="BH58" s="4">
        <v>1211.8630000000001</v>
      </c>
      <c r="BI58" s="2">
        <v>1183.09589041095</v>
      </c>
      <c r="BJ58" s="2">
        <v>1119.6174863387901</v>
      </c>
      <c r="BK58" s="2">
        <v>1142.9589041095801</v>
      </c>
    </row>
    <row r="59" spans="1:63" ht="13.8">
      <c r="A59" s="2" t="s">
        <v>15</v>
      </c>
      <c r="B59" s="6" t="s">
        <v>12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0</v>
      </c>
      <c r="AX59" s="23">
        <v>0</v>
      </c>
      <c r="AY59" s="23">
        <v>0</v>
      </c>
      <c r="AZ59" s="23">
        <v>0</v>
      </c>
      <c r="BA59" s="23">
        <v>0</v>
      </c>
      <c r="BB59" s="23">
        <v>0</v>
      </c>
      <c r="BC59" s="23">
        <v>0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v>0</v>
      </c>
      <c r="BK59" s="23"/>
    </row>
    <row r="60" spans="1:63" ht="13.8">
      <c r="A60" s="12" t="s">
        <v>15</v>
      </c>
      <c r="B60" s="12" t="s">
        <v>18</v>
      </c>
      <c r="C60" s="12">
        <f t="shared" ref="C60:AT60" si="24">C57*C58</f>
        <v>0</v>
      </c>
      <c r="D60" s="12">
        <f t="shared" si="24"/>
        <v>0</v>
      </c>
      <c r="E60" s="12">
        <f t="shared" si="24"/>
        <v>0</v>
      </c>
      <c r="F60" s="12">
        <f t="shared" si="24"/>
        <v>0</v>
      </c>
      <c r="G60" s="12">
        <f t="shared" si="24"/>
        <v>0</v>
      </c>
      <c r="H60" s="12">
        <f t="shared" si="24"/>
        <v>0</v>
      </c>
      <c r="I60" s="12">
        <f t="shared" si="24"/>
        <v>0</v>
      </c>
      <c r="J60" s="12">
        <f t="shared" si="24"/>
        <v>0</v>
      </c>
      <c r="K60" s="12">
        <f t="shared" si="24"/>
        <v>0</v>
      </c>
      <c r="L60" s="12">
        <f t="shared" si="24"/>
        <v>0</v>
      </c>
      <c r="M60" s="12">
        <f t="shared" si="24"/>
        <v>0</v>
      </c>
      <c r="N60" s="12">
        <f t="shared" si="24"/>
        <v>0</v>
      </c>
      <c r="O60" s="12">
        <f t="shared" si="24"/>
        <v>0</v>
      </c>
      <c r="P60" s="12">
        <f t="shared" si="24"/>
        <v>0</v>
      </c>
      <c r="Q60" s="12">
        <f t="shared" si="24"/>
        <v>0</v>
      </c>
      <c r="R60" s="12">
        <f t="shared" si="24"/>
        <v>0</v>
      </c>
      <c r="S60" s="12">
        <f t="shared" si="24"/>
        <v>0</v>
      </c>
      <c r="T60" s="12">
        <f t="shared" si="24"/>
        <v>0</v>
      </c>
      <c r="U60" s="12">
        <f t="shared" si="24"/>
        <v>0</v>
      </c>
      <c r="V60" s="12">
        <f t="shared" si="24"/>
        <v>0</v>
      </c>
      <c r="W60" s="12">
        <f t="shared" si="24"/>
        <v>0</v>
      </c>
      <c r="X60" s="12">
        <f t="shared" si="24"/>
        <v>0</v>
      </c>
      <c r="Y60" s="12">
        <f t="shared" si="24"/>
        <v>0</v>
      </c>
      <c r="Z60" s="12">
        <f t="shared" si="24"/>
        <v>0</v>
      </c>
      <c r="AA60" s="12">
        <f t="shared" si="24"/>
        <v>0</v>
      </c>
      <c r="AB60" s="12">
        <f t="shared" si="24"/>
        <v>0</v>
      </c>
      <c r="AC60" s="12">
        <f t="shared" si="24"/>
        <v>0</v>
      </c>
      <c r="AD60" s="12">
        <f t="shared" si="24"/>
        <v>0</v>
      </c>
      <c r="AE60" s="12">
        <f t="shared" si="24"/>
        <v>0</v>
      </c>
      <c r="AF60" s="12">
        <f t="shared" si="24"/>
        <v>0</v>
      </c>
      <c r="AG60" s="12">
        <f t="shared" si="24"/>
        <v>0</v>
      </c>
      <c r="AH60" s="12">
        <f t="shared" si="24"/>
        <v>0</v>
      </c>
      <c r="AI60" s="12">
        <f t="shared" si="24"/>
        <v>0</v>
      </c>
      <c r="AJ60" s="12">
        <f t="shared" si="24"/>
        <v>0</v>
      </c>
      <c r="AK60" s="12">
        <f t="shared" si="24"/>
        <v>0</v>
      </c>
      <c r="AL60" s="12">
        <f t="shared" si="24"/>
        <v>0</v>
      </c>
      <c r="AM60" s="12">
        <f t="shared" si="24"/>
        <v>0</v>
      </c>
      <c r="AN60" s="12">
        <f t="shared" si="24"/>
        <v>0</v>
      </c>
      <c r="AO60" s="12">
        <f t="shared" si="24"/>
        <v>0</v>
      </c>
      <c r="AP60" s="12">
        <f t="shared" si="24"/>
        <v>0</v>
      </c>
      <c r="AQ60" s="12">
        <f t="shared" si="24"/>
        <v>0</v>
      </c>
      <c r="AR60" s="12">
        <f t="shared" si="24"/>
        <v>0</v>
      </c>
      <c r="AS60" s="12">
        <f t="shared" si="24"/>
        <v>0</v>
      </c>
      <c r="AT60" s="12">
        <f t="shared" si="24"/>
        <v>0</v>
      </c>
      <c r="AU60" s="12">
        <f t="shared" ref="AU60:BJ60" si="25">AU58*AU59</f>
        <v>0</v>
      </c>
      <c r="AV60" s="12">
        <f t="shared" si="25"/>
        <v>0</v>
      </c>
      <c r="AW60" s="12">
        <f t="shared" si="25"/>
        <v>0</v>
      </c>
      <c r="AX60" s="12">
        <f t="shared" si="25"/>
        <v>0</v>
      </c>
      <c r="AY60" s="12">
        <f t="shared" si="25"/>
        <v>0</v>
      </c>
      <c r="AZ60" s="12">
        <f t="shared" si="25"/>
        <v>0</v>
      </c>
      <c r="BA60" s="12">
        <f t="shared" si="25"/>
        <v>0</v>
      </c>
      <c r="BB60" s="12">
        <f t="shared" si="25"/>
        <v>0</v>
      </c>
      <c r="BC60" s="12">
        <f t="shared" si="25"/>
        <v>0</v>
      </c>
      <c r="BD60" s="12">
        <f t="shared" si="25"/>
        <v>0</v>
      </c>
      <c r="BE60" s="12">
        <f t="shared" si="25"/>
        <v>0</v>
      </c>
      <c r="BF60" s="12">
        <f t="shared" si="25"/>
        <v>0</v>
      </c>
      <c r="BG60" s="12">
        <f t="shared" si="25"/>
        <v>0</v>
      </c>
      <c r="BH60" s="12">
        <f t="shared" si="25"/>
        <v>0</v>
      </c>
      <c r="BI60" s="12">
        <f t="shared" si="25"/>
        <v>0</v>
      </c>
      <c r="BJ60" s="12">
        <f t="shared" si="25"/>
        <v>0</v>
      </c>
      <c r="BK60" s="12"/>
    </row>
    <row r="61" spans="1:63" ht="13.8">
      <c r="A61" s="1" t="s">
        <v>25</v>
      </c>
      <c r="B61" s="2" t="s">
        <v>7</v>
      </c>
      <c r="C61" s="1">
        <f t="shared" ref="C61:T61" si="26">SUM(C58,C55,C51,C48,C45,C42, C39,C36,C32,C29,C26,C22,C19,C15,C12,C9,C6)</f>
        <v>0</v>
      </c>
      <c r="D61" s="1">
        <f t="shared" si="26"/>
        <v>0</v>
      </c>
      <c r="E61" s="1">
        <f t="shared" si="26"/>
        <v>0</v>
      </c>
      <c r="F61" s="1">
        <f t="shared" si="26"/>
        <v>0</v>
      </c>
      <c r="G61" s="1">
        <f t="shared" si="26"/>
        <v>0</v>
      </c>
      <c r="H61" s="1">
        <f t="shared" si="26"/>
        <v>0</v>
      </c>
      <c r="I61" s="1">
        <f t="shared" si="26"/>
        <v>0</v>
      </c>
      <c r="J61" s="1">
        <f t="shared" si="26"/>
        <v>0</v>
      </c>
      <c r="K61" s="1">
        <f t="shared" si="26"/>
        <v>30661.906849315015</v>
      </c>
      <c r="L61" s="1">
        <f t="shared" si="26"/>
        <v>31097.210928767068</v>
      </c>
      <c r="M61" s="1">
        <f t="shared" si="26"/>
        <v>27963.545112328724</v>
      </c>
      <c r="N61" s="1">
        <f t="shared" si="26"/>
        <v>31091.527737704862</v>
      </c>
      <c r="O61" s="1">
        <f t="shared" si="26"/>
        <v>31793.668526027359</v>
      </c>
      <c r="P61" s="1">
        <f t="shared" si="26"/>
        <v>30941.575305479404</v>
      </c>
      <c r="Q61" s="1">
        <f t="shared" si="26"/>
        <v>32532.035676712294</v>
      </c>
      <c r="R61" s="1">
        <f t="shared" si="26"/>
        <v>29363.155737704852</v>
      </c>
      <c r="S61" s="1">
        <f t="shared" si="26"/>
        <v>25951.271287671188</v>
      </c>
      <c r="T61" s="1">
        <f t="shared" si="26"/>
        <v>22967.024654794473</v>
      </c>
      <c r="U61" s="1">
        <f t="shared" ref="U61:BJ61" si="27">SUM(U58,U55,U51,U48,U45,U42, U39,U36,U32,V29,U26,U22,U19,U15,U12,U9,U6)</f>
        <v>22458.660618309692</v>
      </c>
      <c r="V61" s="1">
        <f t="shared" si="27"/>
        <v>22084.320098360611</v>
      </c>
      <c r="W61" s="1">
        <f t="shared" si="27"/>
        <v>22262.035561643785</v>
      </c>
      <c r="X61" s="1">
        <f t="shared" si="27"/>
        <v>24382.164657534198</v>
      </c>
      <c r="Y61" s="1">
        <f t="shared" si="27"/>
        <v>25074.824224163429</v>
      </c>
      <c r="Z61" s="1">
        <f t="shared" si="27"/>
        <v>27030.628940190083</v>
      </c>
      <c r="AA61" s="1">
        <f t="shared" si="27"/>
        <v>29133.257904109531</v>
      </c>
      <c r="AB61" s="1">
        <f t="shared" si="27"/>
        <v>30177.153589041045</v>
      </c>
      <c r="AC61" s="1">
        <f t="shared" si="27"/>
        <v>30429.100957631512</v>
      </c>
      <c r="AD61" s="1">
        <f t="shared" si="27"/>
        <v>39109.234927868813</v>
      </c>
      <c r="AE61" s="1">
        <f t="shared" si="27"/>
        <v>39183.129690410919</v>
      </c>
      <c r="AF61" s="1">
        <f t="shared" si="27"/>
        <v>39784.975360273915</v>
      </c>
      <c r="AG61" s="1">
        <f t="shared" si="27"/>
        <v>40552.273181697681</v>
      </c>
      <c r="AH61" s="1">
        <f t="shared" si="27"/>
        <v>41766.025566202516</v>
      </c>
      <c r="AI61" s="1">
        <f t="shared" si="27"/>
        <v>43751.214912328702</v>
      </c>
      <c r="AJ61" s="1">
        <f t="shared" si="27"/>
        <v>44593.373580821863</v>
      </c>
      <c r="AK61" s="1">
        <f t="shared" si="27"/>
        <v>43282.027973156612</v>
      </c>
      <c r="AL61" s="1">
        <f t="shared" si="27"/>
        <v>45398.217861928235</v>
      </c>
      <c r="AM61" s="1">
        <f t="shared" si="27"/>
        <v>45759.315786301326</v>
      </c>
      <c r="AN61" s="1">
        <f t="shared" si="27"/>
        <v>45277.061578082139</v>
      </c>
      <c r="AO61" s="1">
        <f t="shared" si="27"/>
        <v>49876.432571614561</v>
      </c>
      <c r="AP61" s="1">
        <f t="shared" si="27"/>
        <v>53158.022766374648</v>
      </c>
      <c r="AQ61" s="1">
        <f t="shared" si="27"/>
        <v>54519.685438356108</v>
      </c>
      <c r="AR61" s="1">
        <f t="shared" si="27"/>
        <v>54832.334668493066</v>
      </c>
      <c r="AS61" s="1">
        <f t="shared" si="27"/>
        <v>54926.041090328537</v>
      </c>
      <c r="AT61" s="1">
        <f t="shared" si="27"/>
        <v>54659.10921592926</v>
      </c>
      <c r="AU61" s="1">
        <f t="shared" si="27"/>
        <v>53027.163106849235</v>
      </c>
      <c r="AV61" s="1">
        <f t="shared" si="27"/>
        <v>53965.869104541009</v>
      </c>
      <c r="AW61" s="1">
        <f t="shared" si="27"/>
        <v>56050.528472617618</v>
      </c>
      <c r="AX61" s="1">
        <f t="shared" si="27"/>
        <v>56632.756979737474</v>
      </c>
      <c r="AY61" s="1">
        <f t="shared" si="27"/>
        <v>56674.83815844098</v>
      </c>
      <c r="AZ61" s="1">
        <f t="shared" si="27"/>
        <v>57678.332944310823</v>
      </c>
      <c r="BA61" s="1">
        <f t="shared" si="27"/>
        <v>59223.103113741046</v>
      </c>
      <c r="BB61" s="1">
        <f t="shared" si="27"/>
        <v>60305.727969702239</v>
      </c>
      <c r="BC61" s="1">
        <f t="shared" si="27"/>
        <v>59767.37574292488</v>
      </c>
      <c r="BD61" s="1">
        <f t="shared" si="27"/>
        <v>59909.67078933899</v>
      </c>
      <c r="BE61" s="1">
        <f t="shared" si="27"/>
        <v>57600.297991362953</v>
      </c>
      <c r="BF61" s="1">
        <f t="shared" si="27"/>
        <v>53583.173653573191</v>
      </c>
      <c r="BG61" s="1">
        <f t="shared" si="27"/>
        <v>54426.494820820364</v>
      </c>
      <c r="BH61" s="1">
        <f t="shared" si="27"/>
        <v>58059.92363591247</v>
      </c>
      <c r="BI61" s="1">
        <f t="shared" si="27"/>
        <v>57811.825537335331</v>
      </c>
      <c r="BJ61" s="1">
        <f t="shared" si="27"/>
        <v>57896.710409893501</v>
      </c>
    </row>
    <row r="62" spans="1:63" ht="13.8">
      <c r="A62" s="1" t="s">
        <v>25</v>
      </c>
      <c r="B62" s="2" t="s">
        <v>18</v>
      </c>
      <c r="C62" s="1">
        <f t="shared" ref="C62:BJ62" si="28">SUM(C60,C57,C53,C50,C47,C44,C41,C38,C34,C31,C28,C21,C17,C14,C11,C8,C5)</f>
        <v>0</v>
      </c>
      <c r="D62" s="1">
        <f t="shared" si="28"/>
        <v>0</v>
      </c>
      <c r="E62" s="1">
        <f t="shared" si="28"/>
        <v>0</v>
      </c>
      <c r="F62" s="1">
        <f t="shared" si="28"/>
        <v>0</v>
      </c>
      <c r="G62" s="1">
        <f t="shared" si="28"/>
        <v>0</v>
      </c>
      <c r="H62" s="1">
        <f t="shared" si="28"/>
        <v>0</v>
      </c>
      <c r="I62" s="1">
        <f t="shared" si="28"/>
        <v>0</v>
      </c>
      <c r="J62" s="1">
        <f t="shared" si="28"/>
        <v>0</v>
      </c>
      <c r="K62" s="1">
        <f t="shared" si="28"/>
        <v>2986.177686643829</v>
      </c>
      <c r="L62" s="1">
        <f t="shared" si="28"/>
        <v>2773.8393775342411</v>
      </c>
      <c r="M62" s="1">
        <f t="shared" si="28"/>
        <v>2473.7502563013636</v>
      </c>
      <c r="N62" s="1">
        <f t="shared" si="28"/>
        <v>2546.076403005457</v>
      </c>
      <c r="O62" s="1">
        <f t="shared" si="28"/>
        <v>2520.0612238356125</v>
      </c>
      <c r="P62" s="1">
        <f t="shared" si="28"/>
        <v>2541.8529394520497</v>
      </c>
      <c r="Q62" s="1">
        <f t="shared" si="28"/>
        <v>3007.2166549315034</v>
      </c>
      <c r="R62" s="1">
        <f t="shared" si="28"/>
        <v>2569.1669232240356</v>
      </c>
      <c r="S62" s="1">
        <f t="shared" si="28"/>
        <v>1994.4986435616383</v>
      </c>
      <c r="T62" s="1">
        <f t="shared" si="28"/>
        <v>1793.4824402739666</v>
      </c>
      <c r="U62" s="1">
        <f t="shared" si="28"/>
        <v>1934.8847886069232</v>
      </c>
      <c r="V62" s="1">
        <f t="shared" si="28"/>
        <v>1983.1986159836006</v>
      </c>
      <c r="W62" s="1">
        <f t="shared" si="28"/>
        <v>2049.8105068493119</v>
      </c>
      <c r="X62" s="1">
        <f t="shared" si="28"/>
        <v>2247.1050054794478</v>
      </c>
      <c r="Y62" s="1">
        <f t="shared" si="28"/>
        <v>2344.6693737255719</v>
      </c>
      <c r="Z62" s="1">
        <f t="shared" si="28"/>
        <v>2689.5724769256663</v>
      </c>
      <c r="AA62" s="1">
        <f t="shared" si="28"/>
        <v>2784.763490136982</v>
      </c>
      <c r="AB62" s="1">
        <f t="shared" si="28"/>
        <v>2655.7261750684884</v>
      </c>
      <c r="AC62" s="1">
        <f t="shared" si="28"/>
        <v>2246.3640182678328</v>
      </c>
      <c r="AD62" s="1">
        <f t="shared" si="28"/>
        <v>2278.9881030054607</v>
      </c>
      <c r="AE62" s="1">
        <f t="shared" si="28"/>
        <v>2287.5438506849259</v>
      </c>
      <c r="AF62" s="1">
        <f t="shared" si="28"/>
        <v>2398.0472554901307</v>
      </c>
      <c r="AG62" s="1">
        <f t="shared" si="28"/>
        <v>2644.2787121480433</v>
      </c>
      <c r="AH62" s="1">
        <f t="shared" si="28"/>
        <v>2803.0554875314401</v>
      </c>
      <c r="AI62" s="1">
        <f t="shared" si="28"/>
        <v>3225.2719101954763</v>
      </c>
      <c r="AJ62" s="1">
        <f t="shared" si="28"/>
        <v>3587.9223228923242</v>
      </c>
      <c r="AK62" s="1">
        <f t="shared" si="28"/>
        <v>3580.8676324944909</v>
      </c>
      <c r="AL62" s="1">
        <f t="shared" si="28"/>
        <v>4850.7137195909118</v>
      </c>
      <c r="AM62" s="1">
        <f t="shared" si="28"/>
        <v>6923.1195201191749</v>
      </c>
      <c r="AN62" s="1">
        <f t="shared" si="28"/>
        <v>6693.3013129397186</v>
      </c>
      <c r="AO62" s="1">
        <f t="shared" si="28"/>
        <v>6818.0306980520572</v>
      </c>
      <c r="AP62" s="1">
        <f t="shared" si="28"/>
        <v>7471.7912699325489</v>
      </c>
      <c r="AQ62" s="1">
        <f t="shared" si="28"/>
        <v>7454.4646111369802</v>
      </c>
      <c r="AR62" s="1">
        <f t="shared" si="28"/>
        <v>7459.2671939945094</v>
      </c>
      <c r="AS62" s="1">
        <f t="shared" si="28"/>
        <v>7589.1673979780116</v>
      </c>
      <c r="AT62" s="1">
        <f t="shared" si="28"/>
        <v>7290.1812374823749</v>
      </c>
      <c r="AU62" s="1">
        <f t="shared" si="28"/>
        <v>7166.5408795701251</v>
      </c>
      <c r="AV62" s="1">
        <f t="shared" si="28"/>
        <v>8012.1972984278273</v>
      </c>
      <c r="AW62" s="1">
        <f t="shared" si="28"/>
        <v>8165.3434025346678</v>
      </c>
      <c r="AX62" s="1">
        <f t="shared" si="28"/>
        <v>8443.9813429591686</v>
      </c>
      <c r="AY62" s="1">
        <f t="shared" si="28"/>
        <v>8672.8490402904827</v>
      </c>
      <c r="AZ62" s="1">
        <f t="shared" si="28"/>
        <v>8974.25697136499</v>
      </c>
      <c r="BA62" s="1">
        <f t="shared" si="28"/>
        <v>9148.5832963466291</v>
      </c>
      <c r="BB62" s="1">
        <f t="shared" si="28"/>
        <v>8906.0625572019926</v>
      </c>
      <c r="BC62" s="1">
        <f t="shared" si="28"/>
        <v>8922.3077216842721</v>
      </c>
      <c r="BD62" s="1">
        <f t="shared" si="28"/>
        <v>8889.9622834847123</v>
      </c>
      <c r="BE62" s="1">
        <f t="shared" si="28"/>
        <v>8689.7743174623247</v>
      </c>
      <c r="BF62" s="1">
        <f t="shared" si="28"/>
        <v>8235.3650466149629</v>
      </c>
      <c r="BG62" s="1">
        <f t="shared" si="28"/>
        <v>8577.6191196802465</v>
      </c>
      <c r="BH62" s="1">
        <f t="shared" si="28"/>
        <v>8979.7048067938795</v>
      </c>
      <c r="BI62" s="1">
        <f t="shared" si="28"/>
        <v>9023.605672480362</v>
      </c>
      <c r="BJ62" s="1">
        <f t="shared" si="28"/>
        <v>9356.6320001618878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based on EIA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ylwong98</dc:creator>
  <cp:lastModifiedBy>Yu Ling Wong</cp:lastModifiedBy>
  <dcterms:created xsi:type="dcterms:W3CDTF">2026-08-28T05:58:14Z</dcterms:created>
  <dcterms:modified xsi:type="dcterms:W3CDTF">2026-08-28T05:58:14Z</dcterms:modified>
</cp:coreProperties>
</file>